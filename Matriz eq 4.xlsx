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9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C:\Users\Cuaki\Downloads\downloads\"/>
    </mc:Choice>
  </mc:AlternateContent>
  <xr:revisionPtr revIDLastSave="0" documentId="13_ncr:9_{C79F2C5C-096C-41D1-89C5-BBC135963042}" xr6:coauthVersionLast="47" xr6:coauthVersionMax="47" xr10:uidLastSave="{00000000-0000-0000-0000-000000000000}"/>
  <bookViews>
    <workbookView xWindow="-108" yWindow="-108" windowWidth="23256" windowHeight="12456" xr2:uid="{DFE3C85A-67D0-4288-86A6-259677A8403F}"/>
  </bookViews>
  <sheets>
    <sheet name="Matriz" sheetId="1" r:id="rId1"/>
    <sheet name="Actividades" sheetId="2" r:id="rId2"/>
  </sheet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D37" i="1" l="1"/>
  <c r="D38" i="1" s="1"/>
  <c r="D39" i="1" s="1"/>
  <c r="D40" i="1" s="1"/>
  <c r="D41" i="1" s="1"/>
  <c r="D42" i="1" s="1"/>
  <c r="D30" i="1"/>
  <c r="D31" i="1" s="1"/>
  <c r="D32" i="1" s="1"/>
  <c r="D33" i="1" s="1"/>
  <c r="D34" i="1" s="1"/>
  <c r="D35" i="1" s="1"/>
  <c r="D9" i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3" i="1"/>
  <c r="D4" i="1" s="1"/>
  <c r="D5" i="1" s="1"/>
  <c r="D6" i="1" s="1"/>
  <c r="D7" i="1" s="1"/>
  <c r="G39" i="1"/>
  <c r="H39" i="1" s="1"/>
  <c r="G40" i="1"/>
  <c r="H40" i="1" s="1"/>
  <c r="G41" i="1"/>
  <c r="H41" i="1" s="1"/>
  <c r="J39" i="1"/>
  <c r="J40" i="1"/>
  <c r="J41" i="1"/>
  <c r="G31" i="1"/>
  <c r="H31" i="1" s="1"/>
  <c r="G32" i="1"/>
  <c r="H32" i="1" s="1"/>
  <c r="G33" i="1"/>
  <c r="H33" i="1" s="1"/>
  <c r="G34" i="1"/>
  <c r="H34" i="1" s="1"/>
  <c r="J31" i="1"/>
  <c r="J32" i="1"/>
  <c r="J33" i="1"/>
  <c r="J34" i="1"/>
  <c r="G27" i="1"/>
  <c r="H27" i="1" s="1"/>
  <c r="J27" i="1"/>
  <c r="A91" i="2" s="1"/>
  <c r="G26" i="1"/>
  <c r="H26" i="1" s="1"/>
  <c r="J26" i="1"/>
  <c r="A90" i="2" s="1"/>
  <c r="G25" i="1"/>
  <c r="H25" i="1" s="1"/>
  <c r="J25" i="1"/>
  <c r="A89" i="2" s="1"/>
  <c r="G28" i="1"/>
  <c r="H28" i="1" s="1"/>
  <c r="G6" i="1"/>
  <c r="H6" i="1" s="1"/>
  <c r="G5" i="1"/>
  <c r="H5" i="1" s="1"/>
  <c r="G3" i="1"/>
  <c r="H3" i="1" s="1"/>
  <c r="G2" i="1"/>
  <c r="H2" i="1" s="1"/>
  <c r="G42" i="1"/>
  <c r="H42" i="1" s="1"/>
  <c r="G38" i="1"/>
  <c r="H38" i="1" s="1"/>
  <c r="G37" i="1"/>
  <c r="H37" i="1" s="1"/>
  <c r="G36" i="1"/>
  <c r="H36" i="1" s="1"/>
  <c r="G35" i="1"/>
  <c r="H35" i="1" s="1"/>
  <c r="G30" i="1"/>
  <c r="H30" i="1" s="1"/>
  <c r="G29" i="1"/>
  <c r="H29" i="1" s="1"/>
  <c r="G24" i="1"/>
  <c r="H24" i="1" s="1"/>
  <c r="G8" i="1"/>
  <c r="H8" i="1" s="1"/>
  <c r="G9" i="1"/>
  <c r="H9" i="1" s="1"/>
  <c r="G14" i="1"/>
  <c r="H14" i="1" s="1"/>
  <c r="G23" i="1"/>
  <c r="H23" i="1" s="1"/>
  <c r="G21" i="1"/>
  <c r="H21" i="1" s="1"/>
  <c r="G22" i="1"/>
  <c r="H22" i="1" s="1"/>
  <c r="G18" i="1"/>
  <c r="H18" i="1" s="1"/>
  <c r="G20" i="1"/>
  <c r="H20" i="1" s="1"/>
  <c r="G19" i="1"/>
  <c r="H19" i="1" s="1"/>
  <c r="G17" i="1"/>
  <c r="H17" i="1" s="1"/>
  <c r="G16" i="1"/>
  <c r="H16" i="1" s="1"/>
  <c r="G10" i="1"/>
  <c r="H10" i="1" s="1"/>
  <c r="G15" i="1"/>
  <c r="H15" i="1" s="1"/>
  <c r="G13" i="1"/>
  <c r="H13" i="1" s="1"/>
  <c r="G11" i="1"/>
  <c r="H11" i="1" s="1"/>
  <c r="G12" i="1"/>
  <c r="H12" i="1" s="1"/>
  <c r="G7" i="1"/>
  <c r="H7" i="1" s="1"/>
  <c r="G4" i="1"/>
  <c r="H4" i="1" s="1"/>
  <c r="J28" i="1" l="1"/>
  <c r="A92" i="2" s="1"/>
  <c r="J6" i="1"/>
  <c r="J5" i="1"/>
  <c r="J4" i="1"/>
  <c r="J7" i="1"/>
  <c r="J12" i="1"/>
  <c r="A76" i="2" s="1"/>
  <c r="J11" i="1"/>
  <c r="A75" i="2" s="1"/>
  <c r="J13" i="1"/>
  <c r="A77" i="2" s="1"/>
  <c r="J15" i="1"/>
  <c r="A79" i="2" s="1"/>
  <c r="J10" i="1"/>
  <c r="A74" i="2" s="1"/>
  <c r="J16" i="1"/>
  <c r="A80" i="2" s="1"/>
  <c r="J17" i="1"/>
  <c r="A81" i="2" s="1"/>
  <c r="J19" i="1"/>
  <c r="A83" i="2" s="1"/>
  <c r="J20" i="1"/>
  <c r="A84" i="2" s="1"/>
  <c r="J18" i="1"/>
  <c r="A82" i="2" s="1"/>
  <c r="J22" i="1"/>
  <c r="A86" i="2" s="1"/>
  <c r="J21" i="1"/>
  <c r="A85" i="2" s="1"/>
  <c r="J23" i="1"/>
  <c r="A87" i="2" s="1"/>
  <c r="J14" i="1"/>
  <c r="A78" i="2" s="1"/>
  <c r="J9" i="1"/>
  <c r="A73" i="2" s="1"/>
  <c r="J8" i="1"/>
  <c r="A72" i="2" s="1"/>
  <c r="J24" i="1"/>
  <c r="A88" i="2" s="1"/>
  <c r="J29" i="1"/>
  <c r="J30" i="1"/>
  <c r="J35" i="1"/>
  <c r="J36" i="1"/>
  <c r="J37" i="1"/>
  <c r="J38" i="1"/>
  <c r="J42" i="1"/>
  <c r="J2" i="1"/>
  <c r="J3" i="1"/>
</calcChain>
</file>

<file path=xl/sharedStrings.xml><?xml version="1.0" encoding="utf-8"?>
<sst xmlns="http://purl.oclc.org/ooxml/spreadsheetml/main" count="580" uniqueCount="182">
  <si>
    <t>Fase</t>
  </si>
  <si>
    <t>Etapa</t>
  </si>
  <si>
    <t>No. Fase</t>
  </si>
  <si>
    <t>Orden del documento</t>
  </si>
  <si>
    <t>Iniciales de la Fase</t>
  </si>
  <si>
    <t>Iniciales Documento</t>
  </si>
  <si>
    <t>Clave</t>
  </si>
  <si>
    <t>Clave2</t>
  </si>
  <si>
    <t>Entregables</t>
  </si>
  <si>
    <t>nombre del archivo</t>
  </si>
  <si>
    <t>Liga del documento</t>
  </si>
  <si>
    <t>Inicio</t>
  </si>
  <si>
    <t>Docuentacion</t>
  </si>
  <si>
    <t>IN</t>
  </si>
  <si>
    <t>ACP</t>
  </si>
  <si>
    <t>ACTA DE CONSTITUCIÓN DEL PROYECTO</t>
  </si>
  <si>
    <t>PMOTI_0110_IN_ACP ACTA DE CONSTITUCIÓN DEL PROYECTO.docx</t>
  </si>
  <si>
    <t>EGI</t>
  </si>
  <si>
    <t>Estrategia de Gestión de Interesados</t>
  </si>
  <si>
    <t>PMOTI_0120_IN_EGI Estrategia de Gestión de Interesados.docx</t>
  </si>
  <si>
    <t>JEI</t>
  </si>
  <si>
    <t>Junta de Entregables de Inicio</t>
  </si>
  <si>
    <t>PMOTI_0130_IN_JEI Junta de Entregables de Inicio.docx</t>
  </si>
  <si>
    <t>Seguimiento y control</t>
  </si>
  <si>
    <t>SC</t>
  </si>
  <si>
    <t>Solicitud de Cambio Nº</t>
  </si>
  <si>
    <t>PMOTI_0140_IN_SC Solicitud de Cambio Nº.docx</t>
  </si>
  <si>
    <t>ID</t>
  </si>
  <si>
    <t>Informe de Desempeño Nº</t>
  </si>
  <si>
    <t>PMOTI_0150_IN_ID Informe de Desempeño Nº.docx</t>
  </si>
  <si>
    <t>Cierre</t>
  </si>
  <si>
    <t>ACFI</t>
  </si>
  <si>
    <t>Acta de Cierre de la Fase de Inicio</t>
  </si>
  <si>
    <t>PMOTI_0160_IN_ACFI Acta de Cierre de la Fase de Inicio.docx</t>
  </si>
  <si>
    <t>Planeación</t>
  </si>
  <si>
    <t>PL</t>
  </si>
  <si>
    <t>PGC</t>
  </si>
  <si>
    <t>Plan de Gestión de la Configuracion</t>
  </si>
  <si>
    <t>PMOTI_0210_PL_PGC Plan de Gestión de la Configuracion.docx</t>
  </si>
  <si>
    <t>Plan de Gestión de Cambios</t>
  </si>
  <si>
    <t>PMOTI_0220_PL_PGC Plan de Gestión de Cambios.docx</t>
  </si>
  <si>
    <t>DA</t>
  </si>
  <si>
    <t>Declaración de Alcance</t>
  </si>
  <si>
    <t>PMOTI_0230_PL_DA DECLARACIÓN DEL ALCANCE.docx</t>
  </si>
  <si>
    <t>DR</t>
  </si>
  <si>
    <t>Documentación de Requisitos</t>
  </si>
  <si>
    <t>PMOTI_0240_PL_DR DOCUMENTACIÓN DE REQUISITOS.docx</t>
  </si>
  <si>
    <t>PGR</t>
  </si>
  <si>
    <t>Plan de Gestión de Requisitos</t>
  </si>
  <si>
    <t>PMOTI_0250_PL_PGR PLAN DE GESTIÓN DE REQUISITOS.docx</t>
  </si>
  <si>
    <t>MTR</t>
  </si>
  <si>
    <t>Matriz de Trazabilidad de Requisitos</t>
  </si>
  <si>
    <t>PMOTI_0260_PL_MTR MATRIZ DE TRAZABILIDAD DE REQUISITOS.docx</t>
  </si>
  <si>
    <t>PGP</t>
  </si>
  <si>
    <t>Plan de Gestión de Proyecto</t>
  </si>
  <si>
    <t>PMOTI_0270_PL_PGP PLAN DE GESTIÓN DE PROYECTO.docx</t>
  </si>
  <si>
    <t>PGA</t>
  </si>
  <si>
    <t>Plan de Gestión de Alcance</t>
  </si>
  <si>
    <t>PMOTI_0280_PL_PGA PLAN DE GESTIÓN DE ALCANCE.docx</t>
  </si>
  <si>
    <t>EDT</t>
  </si>
  <si>
    <t>PMOTI_0290_PL_EDT EDT o WBS DEL PROYECTO.docx</t>
  </si>
  <si>
    <t>DEDT</t>
  </si>
  <si>
    <t>Diccionario EDT (simplificado)</t>
  </si>
  <si>
    <t>PMOTI_02100_PL_DEDT DICCIONARIO WBS o EDT (simplificado).docx</t>
  </si>
  <si>
    <t>Diagrama de Red</t>
  </si>
  <si>
    <t>PMOTI_02110_PL_DRFGPR_110_04 DIAGRAMA DE RED DEL PROYECTO.docx</t>
  </si>
  <si>
    <t>ER</t>
  </si>
  <si>
    <t>Estimación de Recursos</t>
  </si>
  <si>
    <t>PMOTI_02120_PL_ER ESTIMACIÓN DE RECURSOS Y DURACIONES.docx</t>
  </si>
  <si>
    <t>CP</t>
  </si>
  <si>
    <t>Cronograma del Proyecto</t>
  </si>
  <si>
    <t>PMOTI_02130_PL_CP CRONOGRAMA DEL PROYECTO.docx</t>
  </si>
  <si>
    <t>Costos del Proyecto</t>
  </si>
  <si>
    <t>PMOTI_02140_PL_CP COSTO DEL PROYECTO.docx</t>
  </si>
  <si>
    <t>PP</t>
  </si>
  <si>
    <t>Presupuesto del Proyecto</t>
  </si>
  <si>
    <t>PMOTI_02150_PL_PP PRESUPUESTO DEL PROYECTO.docx</t>
  </si>
  <si>
    <t>JEP</t>
  </si>
  <si>
    <t>Junta de Entregables de Planeación</t>
  </si>
  <si>
    <t>PMOTI_02160_PL_JEP JUNTA DE ENTREGABLES DE PLANEACIÓN.docx</t>
  </si>
  <si>
    <t>PMOTI_02170_PL_ID Informe de Desempeño Nº.docx</t>
  </si>
  <si>
    <t>PMOTI_02180_PL_SC Solicitud de Cambio Nº.docx</t>
  </si>
  <si>
    <t>RCT</t>
  </si>
  <si>
    <t>Reunion de Control de Trabajo Nº</t>
  </si>
  <si>
    <t>RC</t>
  </si>
  <si>
    <t>Reunion de Control Nº</t>
  </si>
  <si>
    <t>PMOTI_02200_PL_RC Reunion de Control Nº.docx</t>
  </si>
  <si>
    <t>ACFP</t>
  </si>
  <si>
    <t>Acta de Cierre de la Fase de Planeación</t>
  </si>
  <si>
    <t>PMOTI_02210_PL_ACFI ACTA DE ACEPTACIÓN DE PLANEACION.docx</t>
  </si>
  <si>
    <t>Ejecución</t>
  </si>
  <si>
    <t>EJ</t>
  </si>
  <si>
    <t>PMOTI_0310_EJ_PGP Plan de Gestión de Proyecto.docx</t>
  </si>
  <si>
    <t>JEE</t>
  </si>
  <si>
    <t>Junta de Entregables de Ejecución</t>
  </si>
  <si>
    <t>PMOTI_0320_EJ_JEE Junta de Entregables de Ejecución.docx</t>
  </si>
  <si>
    <t>PMOTI_0330_EJ_SC Solicitud de Cambio Nº.docx</t>
  </si>
  <si>
    <t>PMOTI_0340_EJ_ID Informe de Desempeño Nº.docx</t>
  </si>
  <si>
    <t>PMOTI_0350_EJ_RC Reunion de Control Nº.docx</t>
  </si>
  <si>
    <t>ECG</t>
  </si>
  <si>
    <t>Evaluación de Competencias Generales Nº</t>
  </si>
  <si>
    <t>PMOTI_0360_EJ_ECG Evaluación de Competencias Generales Nº.docx</t>
  </si>
  <si>
    <t>ACFE</t>
  </si>
  <si>
    <t>Acta de Cierre de la Fase de Ejecución</t>
  </si>
  <si>
    <t>PMOTI_0370_EJ_ACFE Acta de Cierre de la Fase de Ejecución.docx</t>
  </si>
  <si>
    <t>CI</t>
  </si>
  <si>
    <t>AAP</t>
  </si>
  <si>
    <t>Acta de Aceptación de Proyecto</t>
  </si>
  <si>
    <t>PMOTI_0410_CI_AAP Acta de Aceptación de Proyecto.docx</t>
  </si>
  <si>
    <t>GDP</t>
  </si>
  <si>
    <t>Gestión de Documentos del Proyecto</t>
  </si>
  <si>
    <t>JEC</t>
  </si>
  <si>
    <t>Junta de Entregables de Cierre</t>
  </si>
  <si>
    <t>PMOTI_0430_CI_JEC Junta de Entregables de Cierre.docx</t>
  </si>
  <si>
    <t>PMOTI_0440_CI_SC Solicitud de Cambio Nº.docx</t>
  </si>
  <si>
    <t>PMOTI_0450_CI_ID Informe de Desempeño Nº.docx</t>
  </si>
  <si>
    <t>PMOTI_0460_CI_RC Reunion de Control Nº.docx</t>
  </si>
  <si>
    <t>ACFC</t>
  </si>
  <si>
    <t>Acta de Cierre de la Fase de Cierre</t>
  </si>
  <si>
    <t>PMOTI_0470_CI_ACFC Acta de Cierre de la Fase de Cierre.docx</t>
  </si>
  <si>
    <t xml:space="preserve">Nombre del documento </t>
  </si>
  <si>
    <t>Actividad</t>
  </si>
  <si>
    <t xml:space="preserve">Nombre Completo </t>
  </si>
  <si>
    <t xml:space="preserve">Fecha </t>
  </si>
  <si>
    <t>Comentario</t>
  </si>
  <si>
    <t xml:space="preserve">Actividades </t>
  </si>
  <si>
    <t>Matriz</t>
  </si>
  <si>
    <t>Elaborp</t>
  </si>
  <si>
    <t>Morales Quiroz Daniel Alejandro</t>
  </si>
  <si>
    <t xml:space="preserve">Elabore el documento y agrege los nombres y la estructura del mismo </t>
  </si>
  <si>
    <t xml:space="preserve">elaboro </t>
  </si>
  <si>
    <t>PMOTI_0110_IN_ACP PROJECT CHARTER O ACTA DE CONSTITUCIÓN DEL PROYECTO</t>
  </si>
  <si>
    <t>Elaboro</t>
  </si>
  <si>
    <t xml:space="preserve">Agregue el documento en su carpeta correspondiente asi como agregar el logo de la organizacion en el documento </t>
  </si>
  <si>
    <t xml:space="preserve">modifico </t>
  </si>
  <si>
    <t>PMOTI_0120_IN_EGI Estrategia de Gestión de Interesados</t>
  </si>
  <si>
    <t xml:space="preserve">reviso </t>
  </si>
  <si>
    <t>PMOTI_0130_IN_JEI Junta de Entregables de Inicio</t>
  </si>
  <si>
    <t>PMOTI_0140_IN_SC Solicitud de Cambio Nº</t>
  </si>
  <si>
    <t>PMOTI_0150_IN_ID Informe de Desempeño Nº</t>
  </si>
  <si>
    <t>PMOTI_0160_IN_ACFI Acta de Cierre de la Fase de Inicio</t>
  </si>
  <si>
    <t>PMOTI_0210_PL_PGC Plan de Gestión de la Configuracion</t>
  </si>
  <si>
    <t>PMOTI_0220_PL_PGC Plan de Gestión de Cambios</t>
  </si>
  <si>
    <t>PMOTI_0230_PL_DA Declaración de Alcance</t>
  </si>
  <si>
    <t>PMOTI_0240_PL_DR Documentación de Requisitos</t>
  </si>
  <si>
    <t>PMOTI_0250_PL_PGR Plan de Gestión de Requisitos</t>
  </si>
  <si>
    <t>PMOTI_0260_PL_MTR Matriz de Trazabilidad de Requisitos</t>
  </si>
  <si>
    <t>PMOTI_0270_PL_PGP Plan de Gestión de Proyecto</t>
  </si>
  <si>
    <t>PMOTI_0280_PL_PGA Plan de Gestión de Alcance</t>
  </si>
  <si>
    <t>PMOTI_0290_PL_EDT EDT</t>
  </si>
  <si>
    <t>PMOTI_02100_PL_DEDT Diccionario EDT (simplificado)</t>
  </si>
  <si>
    <t>PMOTI_02110_PL_DR Diagrama de Red</t>
  </si>
  <si>
    <t>PMOTI_02120_PL_ER Estimación de Recursos</t>
  </si>
  <si>
    <t>PMOTI_02130_PL_CP Cronograma del Proyecto</t>
  </si>
  <si>
    <t>PMOTI_02140_PL_CP Costos del Proyecto</t>
  </si>
  <si>
    <t>PMOTI_02150_PL_PP Presupuesto del Proyecto</t>
  </si>
  <si>
    <t>PMOTI_02160_PL_JEP Junta de Entregables de Planeación</t>
  </si>
  <si>
    <t>PMOTI_02170_PL_ID Informe de Desempeño Nº</t>
  </si>
  <si>
    <t>PMOTI_02180_PL_SC Solicitud de Cambio Nº</t>
  </si>
  <si>
    <t>PMOTI_02190_PL_RCT Reunion de Control de Trabajo Nº</t>
  </si>
  <si>
    <t>PMOTI_02200_PL_RC Reunion de Control Nº</t>
  </si>
  <si>
    <t>PMOTI_02210_PL_ACFP Acta de Cierre de la Fase de Planeación</t>
  </si>
  <si>
    <t>PMOTI_0310_EJ_PGP Plan de Gestión de Proyecto</t>
  </si>
  <si>
    <t>PMOTI_0320_EJ_JEE Junta de Entregables de Ejecución</t>
  </si>
  <si>
    <t>PMOTI_0330_EJ_SC Solicitud de Cambio Nº</t>
  </si>
  <si>
    <t>PMOTI_0340_EJ_ID Informe de Desempeño Nº</t>
  </si>
  <si>
    <t>PMOTI_0350_EJ_RC Reunion de Control Nº</t>
  </si>
  <si>
    <t>PMOTI_0360_EJ_ECG Evaluación de Competencias Generales Nº</t>
  </si>
  <si>
    <t>PMOTI_0370_EJ_ACFE Acta de Cierre de la Fase de Ejecución</t>
  </si>
  <si>
    <t>PMOTI_0410_CI_AAP Acta de Aceptación de Proyecto</t>
  </si>
  <si>
    <t>PMOTI_0420_CI_GDP Gestión de Documentos del Proyecto</t>
  </si>
  <si>
    <t>PMOTI_0430_CI_JEC Junta de Entregables de Cierre</t>
  </si>
  <si>
    <t>PMOTI_0440_CI_SC Solicitud de Cambio Nº</t>
  </si>
  <si>
    <t>PMOTI_0450_CI_ID Informe de Desempeño Nº</t>
  </si>
  <si>
    <t>PMOTI_0460_CI_RC Reunion de Control Nº</t>
  </si>
  <si>
    <t>PMOTI_0470_CI_ACFC Acta de Cierre de la Fase de Cierre</t>
  </si>
  <si>
    <t>Reviso</t>
  </si>
  <si>
    <t>Solis Espinoza Cristian Eduardo</t>
  </si>
  <si>
    <t>Modifico</t>
  </si>
  <si>
    <t xml:space="preserve">Agrege la hoja actividades para el control de actividades </t>
  </si>
  <si>
    <t>Ruiz Dominguez Abdiel Efrain</t>
  </si>
  <si>
    <t>Correción de nombre e imagen de Project Management borrada.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</si>
</sst>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2"/>
    <xf numFmtId="0" fontId="2" fillId="0" borderId="0" xfId="1" applyNumberFormat="1" applyFont="1" applyAlignment="1">
      <alignment horizontal="center" vertical="center"/>
    </xf>
    <xf numFmtId="0" fontId="4" fillId="0" borderId="0" xfId="2" applyFont="1"/>
  </cellXfs>
  <cellStyles count="3">
    <cellStyle name="Hyperlink" xfId="2" xr:uid="{00000000-000B-0000-0000-000008000000}"/>
    <cellStyle name="Millares" xfId="1" builtinId="3"/>
    <cellStyle name="Normal" xfId="0" builtinId="0"/>
  </cellStyles>
  <dxfs count="20"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2.xml"/><Relationship Id="rId3" Type="http://purl.oclc.org/ooxml/officeDocument/relationships/theme" Target="theme/theme1.xml"/><Relationship Id="rId7" Type="http://purl.oclc.org/ooxml/officeDocument/relationships/customXml" Target="../customXml/item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Relationship Id="rId9" Type="http://purl.oclc.org/ooxml/officeDocument/relationships/customXml" Target="../customXml/item3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51CADAEC-D5BC-42BE-A664-37DCE63CED47}" name="Tabla3" displayName="Tabla3" ref="A1:K42" totalsRowShown="0" headerRowDxfId="19" dataDxfId="18">
  <autoFilter ref="A1:K42" xr:uid="{F601ECAC-18A7-4C8E-95D9-5F5BB736AEF7}"/>
  <sortState xmlns:xlrd2="http://schemas.microsoft.com/office/spreadsheetml/2017/richdata2" ref="A2:I42">
    <sortCondition ref="C1:C42"/>
  </sortState>
  <tableColumns count="11">
    <tableColumn id="1" xr3:uid="{FE896667-D999-4FCC-843B-58BDAB2FD61E}" name="Fase" dataDxfId="17"/>
    <tableColumn id="10" xr3:uid="{E6819DF7-5897-445F-95D1-2C96E72B0042}" name="Etapa" dataDxfId="16"/>
    <tableColumn id="2" xr3:uid="{34A04D79-CA71-4D30-8B11-9A88D3BC7EA8}" name="No. Fase" dataDxfId="15"/>
    <tableColumn id="3" xr3:uid="{41CB2BD9-9B9D-45FA-8C6E-35D3FFBA0621}" name="Orden del documento" dataDxfId="14"/>
    <tableColumn id="4" xr3:uid="{EE221EF4-0B88-4B97-8A2C-CF3755156F5D}" name="Iniciales de la Fase" dataDxfId="13"/>
    <tableColumn id="5" xr3:uid="{2EB340B0-A734-43D5-B59E-07B04330754F}" name="Iniciales Documento" dataDxfId="12"/>
    <tableColumn id="7" xr3:uid="{5F1D95B3-F701-4743-92B9-86A853A4EBF8}" name="Clave" dataDxfId="11">
      <calculatedColumnFormula>CONCATENATE("PMOTI","_","0",Tabla3[[#This Row],[No. Fase]],Tabla3[[#This Row],[Orden del documento]],"_",Tabla3[[#This Row],[Iniciales de la Fase]],"_",Tabla3[[#This Row],[Iniciales Documento]])</calculatedColumnFormula>
    </tableColumn>
    <tableColumn id="6" xr3:uid="{5793FBDA-CC55-4221-A3A1-643A4B6FD15B}" name="Clave2" dataDxfId="10">
      <calculatedColumnFormula>CONCATENATE(Tabla3[[#This Row],[Clave]])</calculatedColumnFormula>
    </tableColumn>
    <tableColumn id="8" xr3:uid="{7EF27D28-7EAE-45BD-99D1-E5E8B68EB29E}" name="Entregables" dataDxfId="9"/>
    <tableColumn id="9" xr3:uid="{E492EFD6-D980-4BCF-ADAE-B2AEE0F9F297}" name="nombre del archivo" dataDxfId="8">
      <calculatedColumnFormula>CONCATENATE(Tabla3[[#This Row],[Clave]]," ",Tabla3[[#This Row],[Entregables]])</calculatedColumnFormula>
    </tableColumn>
    <tableColumn id="15" xr3:uid="{4B581E15-101C-483D-BA68-C302DDAC4544}" name="Liga del documento" dataDxfId="7"/>
  </tableColumns>
  <tableStyleInfo name="TableStyleMedium7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1A63C199-D794-4A95-95B4-24DD2D4E50AF}" name="Tabla2" displayName="Tabla2" ref="A1:E92" totalsRowShown="0" headerRowDxfId="6" dataDxfId="5">
  <autoFilter ref="A1:E92" xr:uid="{1A63C199-D794-4A95-95B4-24DD2D4E50AF}"/>
  <tableColumns count="5">
    <tableColumn id="1" xr3:uid="{AAAFB0E4-8DC7-4D49-AC3D-DB2749789C4F}" name="Nombre del documento " dataDxfId="4"/>
    <tableColumn id="2" xr3:uid="{EA60B6CB-FCBA-4FEF-895E-CC1CD2525096}" name="Actividad" dataDxfId="3"/>
    <tableColumn id="3" xr3:uid="{289236FC-341E-4446-824E-273ECC380CF1}" name="Nombre Completo " dataDxfId="2"/>
    <tableColumn id="4" xr3:uid="{9EDE1F18-BE33-4EEE-AF1B-E1B9716CEEE1}" name="Fecha " dataDxfId="1"/>
    <tableColumn id="5" xr3:uid="{668D8A8B-A432-45CE-BD54-D9704CAE0906}" name="Comentario" dataDxfId="0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purl.oclc.org/ooxml/officeDocument/relationships/hyperlink" Target="https://correoipn.sharepoint.com/:w:/s/GESTIONDEPROYECTOSUPIICSA/EczSO0IqAhNEj-ZIII0J2WwBcLRJRqFEGJZAYGC4OFAOFQ?e=yibQUa" TargetMode="External"/><Relationship Id="rId18" Type="http://purl.oclc.org/ooxml/officeDocument/relationships/hyperlink" Target="https://correoipn.sharepoint.com/:w:/s/GESTIONDEPROYECTOSUPIICSA/EauNVUe0_UVMlC-hMPySOe4BpOpnmZHqhK3iZvvCw4cHJw?e=crd8QU" TargetMode="External"/><Relationship Id="rId26" Type="http://purl.oclc.org/ooxml/officeDocument/relationships/hyperlink" Target="https://correoipn.sharepoint.com/:w:/s/GESTIONDEPROYECTOSUPIICSA/Eb7rlEGuTOZCqFLwSoy3alUBFcQAbHTYBh0Nlm3ulm0evA?e=x0hnQd" TargetMode="External"/><Relationship Id="rId39" Type="http://purl.oclc.org/ooxml/officeDocument/relationships/hyperlink" Target="https://correoipn.sharepoint.com/:w:/s/GESTIONDEPROYECTOSUPIICSA/EQhXQD2eVdhOu2W9bOVQwVMBpVQ-EP-ZFyKSAjQnc6O7kg?e=gc9Jps" TargetMode="External"/><Relationship Id="rId21" Type="http://purl.oclc.org/ooxml/officeDocument/relationships/hyperlink" Target="https://correoipn.sharepoint.com/:w:/s/GESTIONDEPROYECTOSUPIICSA/EVFRL8ED8eBCkqoAIxlsTN4BNaEM4tBqdKY0lqY-bnrXgw?e=Cqy4cW" TargetMode="External"/><Relationship Id="rId34" Type="http://purl.oclc.org/ooxml/officeDocument/relationships/hyperlink" Target="https://correoipn.sharepoint.com/:w:/s/GESTIONDEPROYECTOSUPIICSA/EYKDGlGiD9RCkZnTPZ888o8BNvzZC77sZqQxa-0m840ZWg?e=ZbLpa6" TargetMode="External"/><Relationship Id="rId7" Type="http://purl.oclc.org/ooxml/officeDocument/relationships/hyperlink" Target="https://correoipn.sharepoint.com/:w:/s/GESTIONDEPROYECTOSUPIICSA/EfaqinlYmCtGuBeXlEsE7zkBs-a7YEOjYrGWMNep0QPMEw?e=LrlUgM" TargetMode="External"/><Relationship Id="rId2" Type="http://purl.oclc.org/ooxml/officeDocument/relationships/hyperlink" Target="https://correoipn.sharepoint.com/:w:/s/GESTIONDEPROYECTOSUPIICSA/EcIyzjNnFyNMgRcmG2zbBNwBlI7WLeyUuUy0J_Hvpvnpyg?e=fXv9Lb" TargetMode="External"/><Relationship Id="rId16" Type="http://purl.oclc.org/ooxml/officeDocument/relationships/hyperlink" Target="https://correoipn.sharepoint.com/:w:/s/GESTIONDEPROYECTOSUPIICSA/EYnvYEpQ5x1OkDqvcMscANgBflk0NIbMGgBw0jMSBbUWcQ?e=0jne5m" TargetMode="External"/><Relationship Id="rId20" Type="http://purl.oclc.org/ooxml/officeDocument/relationships/hyperlink" Target="https://correoipn.sharepoint.com/:w:/s/GESTIONDEPROYECTOSUPIICSA/EbNRbr7KpqtPnOq4vx3zBswBVwRE-cXhHK811Z1oU89KVw?e=BI41k1" TargetMode="External"/><Relationship Id="rId29" Type="http://purl.oclc.org/ooxml/officeDocument/relationships/hyperlink" Target="https://correoipn.sharepoint.com/:w:/s/GESTIONDEPROYECTOSUPIICSA/EVpTULK6kexBpNoihs7obx4BTxIc3pDBowt95kI2NWItfA?e=fqhvlZ" TargetMode="External"/><Relationship Id="rId41" Type="http://purl.oclc.org/ooxml/officeDocument/relationships/table" Target="../tables/table1.xml"/><Relationship Id="rId1" Type="http://purl.oclc.org/ooxml/officeDocument/relationships/hyperlink" Target="https://correoipn.sharepoint.com/:w:/s/GESTIONDEPROYECTOSUPIICSA/EcT-AiKUAKhMuTkTexHSVkEBE1sUlsNcjlWdBPpOUnzp3A?e=cJrXKd" TargetMode="External"/><Relationship Id="rId6" Type="http://purl.oclc.org/ooxml/officeDocument/relationships/hyperlink" Target="https://correoipn.sharepoint.com/:w:/s/GESTIONDEPROYECTOSUPIICSA/EWtkZUNFLqBPh3Fkj5EtXxMBVEg-CNCK2E_W0fX86p9bkA?e=HKelMh" TargetMode="External"/><Relationship Id="rId11" Type="http://purl.oclc.org/ooxml/officeDocument/relationships/hyperlink" Target="https://correoipn.sharepoint.com/:w:/s/GESTIONDEPROYECTOSUPIICSA/ES8_d5oB_BpAsQlBrwjXW1IBgvx9g3zfzKEtZNDlJuX59w?e=2gvVLp" TargetMode="External"/><Relationship Id="rId24" Type="http://purl.oclc.org/ooxml/officeDocument/relationships/hyperlink" Target="https://correoipn.sharepoint.com/:w:/s/GESTIONDEPROYECTOSUPIICSA/EcFj3q29_LRPveIGmIZ_xt0B71RYbV6eFmbHqzmejSkS6g?e=jbjaDq" TargetMode="External"/><Relationship Id="rId32" Type="http://purl.oclc.org/ooxml/officeDocument/relationships/hyperlink" Target="https://correoipn.sharepoint.com/:w:/s/GESTIONDEPROYECTOSUPIICSA/ESE-cECeoZRKoqhRCZCmD6YBzGe_HpTW4dLo1L32q0ZI4A?e=hDXZcY" TargetMode="External"/><Relationship Id="rId37" Type="http://purl.oclc.org/ooxml/officeDocument/relationships/hyperlink" Target="https://correoipn.sharepoint.com/:w:/s/GESTIONDEPROYECTOSUPIICSA/EXy1Ytx7yR5AgzDuK_an4q4BOxYLlYzJpbxnCloST-Gs5g?e=Ub3OH0" TargetMode="External"/><Relationship Id="rId40" Type="http://purl.oclc.org/ooxml/officeDocument/relationships/printerSettings" Target="../printerSettings/printerSettings1.bin"/><Relationship Id="rId5" Type="http://purl.oclc.org/ooxml/officeDocument/relationships/hyperlink" Target="https://correoipn.sharepoint.com/:w:/s/GESTIONDEPROYECTOSUPIICSA/EXjJLf_QkI1JrC55C6WabmsBaIZY1VVBgrtnGNjOD8HoaQ?e=f2K25p" TargetMode="External"/><Relationship Id="rId15" Type="http://purl.oclc.org/ooxml/officeDocument/relationships/hyperlink" Target="https://correoipn.sharepoint.com/:w:/s/GESTIONDEPROYECTOSUPIICSA/EUGDML4-tj5Pjj0kkbf8xRwBt-wqjRV4Zs7E7wmHI_KBuw?e=qyRICG" TargetMode="External"/><Relationship Id="rId23" Type="http://purl.oclc.org/ooxml/officeDocument/relationships/hyperlink" Target="https://correoipn.sharepoint.com/:w:/s/GESTIONDEPROYECTOSUPIICSA/EREQ23nO26hCr21nh81iqxEBRzpEZ93SeLu2QhHK35bEgQ?e=sDALTK" TargetMode="External"/><Relationship Id="rId28" Type="http://purl.oclc.org/ooxml/officeDocument/relationships/hyperlink" Target="https://correoipn.sharepoint.com/:w:/s/GESTIONDEPROYECTOSUPIICSA/Ec6odE7McKFElDQCiLVdYJoBtiaZuZfrcTS9LyLUsCAqTg?e=Edwtr6" TargetMode="External"/><Relationship Id="rId36" Type="http://purl.oclc.org/ooxml/officeDocument/relationships/hyperlink" Target="https://correoipn.sharepoint.com/:w:/s/GESTIONDEPROYECTOSUPIICSA/EaIHgKCp1N5HqN_1hCI5-ZAB5rN8MjyAm2k10w3ETpkCaA?e=z1nmsy" TargetMode="External"/><Relationship Id="rId10" Type="http://purl.oclc.org/ooxml/officeDocument/relationships/hyperlink" Target="https://correoipn.sharepoint.com/:w:/s/GESTIONDEPROYECTOSUPIICSA/EVwhS0V1g9NMitpiUF1_qVcBjjb0022xvmkfLfz4J4lf6Q?e=QNbzwc" TargetMode="External"/><Relationship Id="rId19" Type="http://purl.oclc.org/ooxml/officeDocument/relationships/hyperlink" Target="https://correoipn.sharepoint.com/:w:/s/GESTIONDEPROYECTOSUPIICSA/EVZcPwxfd-dMgteiX6kU3_kBKv1K3FA6DEb4TamOgj-E9g?e=edjW1t" TargetMode="External"/><Relationship Id="rId31" Type="http://purl.oclc.org/ooxml/officeDocument/relationships/hyperlink" Target="https://correoipn.sharepoint.com/:w:/s/GESTIONDEPROYECTOSUPIICSA/EbjpSvUW-KtPkuQ0XRAhxhkBY_3XhsHjGdAyu3fD-VWudw?e=xu0c6k" TargetMode="External"/><Relationship Id="rId4" Type="http://purl.oclc.org/ooxml/officeDocument/relationships/hyperlink" Target="https://correoipn.sharepoint.com/:w:/s/GESTIONDEPROYECTOSUPIICSA/EQAYCDWXPcVLld_LPbRcetAB5Taa-e48uDLrh4i3kjrY7A?e=TFZCQp" TargetMode="External"/><Relationship Id="rId9" Type="http://purl.oclc.org/ooxml/officeDocument/relationships/hyperlink" Target="https://correoipn.sharepoint.com/:w:/s/GESTIONDEPROYECTOSUPIICSA/EQ3RnT_0WYFIhC3drJaLS1gB7JMEnavaxfsWvu6OmIkKyg?e=ufHkXt" TargetMode="External"/><Relationship Id="rId14" Type="http://purl.oclc.org/ooxml/officeDocument/relationships/hyperlink" Target="https://correoipn.sharepoint.com/:w:/s/GESTIONDEPROYECTOSUPIICSA/EQn7tERJOidGto28DQW5emYBjHyoKumVvXUOj2aGLUjWzw?e=lYNM2w" TargetMode="External"/><Relationship Id="rId22" Type="http://purl.oclc.org/ooxml/officeDocument/relationships/hyperlink" Target="https://correoipn.sharepoint.com/:w:/s/GESTIONDEPROYECTOSUPIICSA/EW4khDfGEJ9BuREWwzjkkg8BbDWT9h0bfqUDSk6L9KeASg?e=fIvdft" TargetMode="External"/><Relationship Id="rId27" Type="http://purl.oclc.org/ooxml/officeDocument/relationships/hyperlink" Target="https://correoipn.sharepoint.com/:w:/s/GESTIONDEPROYECTOSUPIICSA/Ec3ZlnePGmxBp-pG8EfLumcBS8HxPQL_F8KWsQMs_WhRKQ?e=nDCoba" TargetMode="External"/><Relationship Id="rId30" Type="http://purl.oclc.org/ooxml/officeDocument/relationships/hyperlink" Target="https://correoipn.sharepoint.com/:w:/s/GESTIONDEPROYECTOSUPIICSA/EadNndTVG6hMoMw57BLpso0BNW95BZBvwaESLKtC3ba9ZA?e=ad8whp" TargetMode="External"/><Relationship Id="rId35" Type="http://purl.oclc.org/ooxml/officeDocument/relationships/hyperlink" Target="https://correoipn.sharepoint.com/:w:/s/GESTIONDEPROYECTOSUPIICSA/EXXKVDM2T69MnhzmOyX8ylkBgr1N1XbHkULjLjpJxUGgeg?e=D7MNV5" TargetMode="External"/><Relationship Id="rId8" Type="http://purl.oclc.org/ooxml/officeDocument/relationships/hyperlink" Target="https://correoipn.sharepoint.com/:w:/s/GESTIONDEPROYECTOSUPIICSA/EWtnmUj5uSFOvGe4ATtskn4BX71MmlVXSJDn72YscBYSfw?e=mjULAv" TargetMode="External"/><Relationship Id="rId3" Type="http://purl.oclc.org/ooxml/officeDocument/relationships/hyperlink" Target="https://correoipn.sharepoint.com/:w:/s/GESTIONDEPROYECTOSUPIICSA/ETNrDY4iVDJJkGn7EoifY6wBPp8EGjiNDtdp2_79_x9FLw?e=LQ6MTx" TargetMode="External"/><Relationship Id="rId12" Type="http://purl.oclc.org/ooxml/officeDocument/relationships/hyperlink" Target="https://correoipn.sharepoint.com/:w:/s/GESTIONDEPROYECTOSUPIICSA/EdC1O96UT39OkZcYIdKIBWoBH5keViAeHqxBSoW4yYxg3w?e=IpOefg" TargetMode="External"/><Relationship Id="rId17" Type="http://purl.oclc.org/ooxml/officeDocument/relationships/hyperlink" Target="https://correoipn.sharepoint.com/:w:/s/GESTIONDEPROYECTOSUPIICSA/EckjM93GRJZIthL7WNmTxykB--Q9EKM6IfNvCpg72ac55w?e=49iML6" TargetMode="External"/><Relationship Id="rId25" Type="http://purl.oclc.org/ooxml/officeDocument/relationships/hyperlink" Target="https://correoipn.sharepoint.com/:w:/s/GESTIONDEPROYECTOSUPIICSA/EUbW_BdKeodIpj7Qay_L3j8BCKKTgfXJasGr2Bl94QFyXw?e=fAXfE8" TargetMode="External"/><Relationship Id="rId33" Type="http://purl.oclc.org/ooxml/officeDocument/relationships/hyperlink" Target="https://correoipn.sharepoint.com/:w:/s/GESTIONDEPROYECTOSUPIICSA/ES4aCP1NHklDjm3kIaUFugYBOxoBnz_i9_Hwxjoxouahsg?e=IWe6tq" TargetMode="External"/><Relationship Id="rId38" Type="http://purl.oclc.org/ooxml/officeDocument/relationships/hyperlink" Target="https://correoipn.sharepoint.com/:w:/s/GESTIONDEPROYECTOSUPIICSA/EYyMQU098ApOsHAjfTMa0eIBKggGDztMDePUZoCihACuXQ?e=BjRXGB" TargetMode="Externa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2842-D54D-4E55-BB9D-35DD8EA7D56D}">
  <dimension ref="A1:K42"/>
  <sheetViews>
    <sheetView tabSelected="1" topLeftCell="B1" zoomScale="91" zoomScaleNormal="115" workbookViewId="0">
      <selection activeCell="H3" sqref="H3"/>
    </sheetView>
  </sheetViews>
  <sheetFormatPr defaultColWidth="11.5703125" defaultRowHeight="15"/>
  <cols>
    <col min="1" max="1" width="19" style="1" bestFit="1" customWidth="1"/>
    <col min="2" max="2" width="20.42578125" style="1" bestFit="1" customWidth="1"/>
    <col min="3" max="3" width="12.5703125" style="2" bestFit="1" customWidth="1"/>
    <col min="4" max="4" width="24" style="1" customWidth="1"/>
    <col min="5" max="5" width="20.7109375" style="1" bestFit="1" customWidth="1"/>
    <col min="6" max="6" width="22.5703125" style="1" bestFit="1" customWidth="1"/>
    <col min="7" max="7" width="19.5703125" style="1" hidden="1" customWidth="1"/>
    <col min="8" max="8" width="32.28515625" style="1" bestFit="1" customWidth="1"/>
    <col min="9" max="9" width="54" style="1" bestFit="1" customWidth="1"/>
    <col min="10" max="10" width="71.140625" style="1" bestFit="1" customWidth="1"/>
    <col min="11" max="11" width="71.140625" style="1" customWidth="1"/>
    <col min="12" max="16384" width="11.5703125" style="1"/>
  </cols>
  <sheetData>
    <row r="1" spans="1:1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3" customFormat="1">
      <c r="A2" s="3" t="s">
        <v>11</v>
      </c>
      <c r="B2" s="1" t="s">
        <v>12</v>
      </c>
      <c r="C2" s="9">
        <v>1</v>
      </c>
      <c r="D2" s="3">
        <v>10</v>
      </c>
      <c r="E2" s="3" t="s">
        <v>13</v>
      </c>
      <c r="F2" s="3" t="s">
        <v>14</v>
      </c>
      <c r="G2" s="3" t="str">
        <f>CONCATENATE("PMOTI","_","0",Tabla3[[#This Row],[No. Fase]],Tabla3[[#This Row],[Orden del documento]],"_",Tabla3[[#This Row],[Iniciales de la Fase]],"_",Tabla3[[#This Row],[Iniciales Documento]])</f>
        <v>PMOTI_0110_IN_ACP</v>
      </c>
      <c r="H2" s="7" t="str">
        <f>CONCATENATE(Tabla3[[#This Row],[Clave]])</f>
        <v>PMOTI_0110_IN_ACP</v>
      </c>
      <c r="I2" s="3" t="s">
        <v>15</v>
      </c>
      <c r="J2" s="3" t="str">
        <f>CONCATENATE(Tabla3[[#This Row],[Clave]]," ",Tabla3[[#This Row],[Entregables]])</f>
        <v>PMOTI_0110_IN_ACP ACTA DE CONSTITUCIÓN DEL PROYECTO</v>
      </c>
      <c r="K2" s="10" t="s">
        <v>16</v>
      </c>
    </row>
    <row r="3" spans="1:11" s="3" customFormat="1">
      <c r="A3" s="3" t="s">
        <v>11</v>
      </c>
      <c r="B3" s="1" t="s">
        <v>12</v>
      </c>
      <c r="C3" s="9">
        <v>1</v>
      </c>
      <c r="D3" s="3">
        <f>D2+10</f>
        <v>20</v>
      </c>
      <c r="E3" s="3" t="s">
        <v>13</v>
      </c>
      <c r="F3" s="3" t="s">
        <v>17</v>
      </c>
      <c r="G3" s="3" t="str">
        <f>CONCATENATE("PMOTI","_","0",Tabla3[[#This Row],[No. Fase]],Tabla3[[#This Row],[Orden del documento]],"_",Tabla3[[#This Row],[Iniciales de la Fase]],"_",Tabla3[[#This Row],[Iniciales Documento]])</f>
        <v>PMOTI_0120_IN_EGI</v>
      </c>
      <c r="H3" s="3" t="str">
        <f>CONCATENATE(Tabla3[[#This Row],[Clave]])</f>
        <v>PMOTI_0120_IN_EGI</v>
      </c>
      <c r="I3" s="3" t="s">
        <v>18</v>
      </c>
      <c r="J3" s="3" t="str">
        <f>CONCATENATE(Tabla3[[#This Row],[Clave]]," ",Tabla3[[#This Row],[Entregables]])</f>
        <v>PMOTI_0120_IN_EGI Estrategia de Gestión de Interesados</v>
      </c>
      <c r="K3" s="10" t="s">
        <v>19</v>
      </c>
    </row>
    <row r="4" spans="1:11" s="3" customFormat="1">
      <c r="A4" s="3" t="s">
        <v>11</v>
      </c>
      <c r="B4" s="1" t="s">
        <v>12</v>
      </c>
      <c r="C4" s="9">
        <v>1</v>
      </c>
      <c r="D4" s="3">
        <f t="shared" ref="D4:D7" si="0">D3+10</f>
        <v>30</v>
      </c>
      <c r="E4" s="3" t="s">
        <v>13</v>
      </c>
      <c r="F4" s="3" t="s">
        <v>20</v>
      </c>
      <c r="G4" s="3" t="str">
        <f>CONCATENATE("PMOTI","_","0",Tabla3[[#This Row],[No. Fase]],Tabla3[[#This Row],[Orden del documento]],"_",Tabla3[[#This Row],[Iniciales de la Fase]],"_",Tabla3[[#This Row],[Iniciales Documento]])</f>
        <v>PMOTI_0130_IN_JEI</v>
      </c>
      <c r="H4" s="3" t="str">
        <f>CONCATENATE(Tabla3[[#This Row],[Clave]])</f>
        <v>PMOTI_0130_IN_JEI</v>
      </c>
      <c r="I4" s="3" t="s">
        <v>21</v>
      </c>
      <c r="J4" s="3" t="str">
        <f>CONCATENATE(Tabla3[[#This Row],[Clave]]," ",Tabla3[[#This Row],[Entregables]])</f>
        <v>PMOTI_0130_IN_JEI Junta de Entregables de Inicio</v>
      </c>
      <c r="K4" s="10" t="s">
        <v>22</v>
      </c>
    </row>
    <row r="5" spans="1:11" s="3" customFormat="1" ht="16.5" customHeight="1">
      <c r="A5" s="3" t="s">
        <v>11</v>
      </c>
      <c r="B5" s="4" t="s">
        <v>23</v>
      </c>
      <c r="C5" s="9">
        <v>1</v>
      </c>
      <c r="D5" s="3">
        <f t="shared" si="0"/>
        <v>40</v>
      </c>
      <c r="E5" s="3" t="s">
        <v>13</v>
      </c>
      <c r="F5" s="3" t="s">
        <v>24</v>
      </c>
      <c r="G5" s="3" t="str">
        <f>CONCATENATE("PMOTI","_","0",Tabla3[[#This Row],[No. Fase]],Tabla3[[#This Row],[Orden del documento]],"_",Tabla3[[#This Row],[Iniciales de la Fase]],"_",Tabla3[[#This Row],[Iniciales Documento]])</f>
        <v>PMOTI_0140_IN_SC</v>
      </c>
      <c r="H5" s="3" t="str">
        <f>CONCATENATE(Tabla3[[#This Row],[Clave]])</f>
        <v>PMOTI_0140_IN_SC</v>
      </c>
      <c r="I5" s="3" t="s">
        <v>25</v>
      </c>
      <c r="J5" s="3" t="str">
        <f>CONCATENATE(Tabla3[[#This Row],[Clave]]," ",Tabla3[[#This Row],[Entregables]])</f>
        <v>PMOTI_0140_IN_SC Solicitud de Cambio Nº</v>
      </c>
      <c r="K5" s="10" t="s">
        <v>26</v>
      </c>
    </row>
    <row r="6" spans="1:11" s="3" customFormat="1">
      <c r="A6" s="3" t="s">
        <v>11</v>
      </c>
      <c r="B6" s="4" t="s">
        <v>23</v>
      </c>
      <c r="C6" s="9">
        <v>1</v>
      </c>
      <c r="D6" s="3">
        <f t="shared" si="0"/>
        <v>50</v>
      </c>
      <c r="E6" s="3" t="s">
        <v>13</v>
      </c>
      <c r="F6" s="3" t="s">
        <v>27</v>
      </c>
      <c r="G6" s="3" t="str">
        <f>CONCATENATE("PMOTI","_","0",Tabla3[[#This Row],[No. Fase]],Tabla3[[#This Row],[Orden del documento]],"_",Tabla3[[#This Row],[Iniciales de la Fase]],"_",Tabla3[[#This Row],[Iniciales Documento]])</f>
        <v>PMOTI_0150_IN_ID</v>
      </c>
      <c r="H6" s="3" t="str">
        <f>CONCATENATE(Tabla3[[#This Row],[Clave]])</f>
        <v>PMOTI_0150_IN_ID</v>
      </c>
      <c r="I6" s="3" t="s">
        <v>28</v>
      </c>
      <c r="J6" s="3" t="str">
        <f>CONCATENATE(Tabla3[[#This Row],[Clave]]," ",Tabla3[[#This Row],[Entregables]])</f>
        <v>PMOTI_0150_IN_ID Informe de Desempeño Nº</v>
      </c>
      <c r="K6" s="10" t="s">
        <v>29</v>
      </c>
    </row>
    <row r="7" spans="1:11" s="3" customFormat="1">
      <c r="A7" s="3" t="s">
        <v>11</v>
      </c>
      <c r="B7" s="1" t="s">
        <v>30</v>
      </c>
      <c r="C7" s="9">
        <v>1</v>
      </c>
      <c r="D7" s="3">
        <f t="shared" si="0"/>
        <v>60</v>
      </c>
      <c r="E7" s="3" t="s">
        <v>13</v>
      </c>
      <c r="F7" s="3" t="s">
        <v>31</v>
      </c>
      <c r="G7" s="3" t="str">
        <f>CONCATENATE("PMOTI","_","0",Tabla3[[#This Row],[No. Fase]],Tabla3[[#This Row],[Orden del documento]],"_",Tabla3[[#This Row],[Iniciales de la Fase]],"_",Tabla3[[#This Row],[Iniciales Documento]])</f>
        <v>PMOTI_0160_IN_ACFI</v>
      </c>
      <c r="H7" s="3" t="str">
        <f>CONCATENATE(Tabla3[[#This Row],[Clave]])</f>
        <v>PMOTI_0160_IN_ACFI</v>
      </c>
      <c r="I7" s="3" t="s">
        <v>32</v>
      </c>
      <c r="J7" s="3" t="str">
        <f>CONCATENATE(Tabla3[[#This Row],[Clave]]," ",Tabla3[[#This Row],[Entregables]])</f>
        <v>PMOTI_0160_IN_ACFI Acta de Cierre de la Fase de Inicio</v>
      </c>
      <c r="K7" s="10" t="s">
        <v>33</v>
      </c>
    </row>
    <row r="8" spans="1:11">
      <c r="A8" s="1" t="s">
        <v>34</v>
      </c>
      <c r="B8" s="1" t="s">
        <v>12</v>
      </c>
      <c r="C8" s="2">
        <v>2</v>
      </c>
      <c r="D8" s="1">
        <v>10</v>
      </c>
      <c r="E8" s="1" t="s">
        <v>35</v>
      </c>
      <c r="F8" s="1" t="s">
        <v>36</v>
      </c>
      <c r="G8" s="1" t="str">
        <f>CONCATENATE("PMOTI","_","0",Tabla3[[#This Row],[No. Fase]],Tabla3[[#This Row],[Orden del documento]],"_",Tabla3[[#This Row],[Iniciales de la Fase]],"_",Tabla3[[#This Row],[Iniciales Documento]])</f>
        <v>PMOTI_0210_PL_PGC</v>
      </c>
      <c r="H8" s="1" t="str">
        <f>CONCATENATE(Tabla3[[#This Row],[Clave]])</f>
        <v>PMOTI_0210_PL_PGC</v>
      </c>
      <c r="I8" s="1" t="s">
        <v>37</v>
      </c>
      <c r="J8" s="1" t="str">
        <f>CONCATENATE(Tabla3[[#This Row],[Clave]]," ",Tabla3[[#This Row],[Entregables]])</f>
        <v>PMOTI_0210_PL_PGC Plan de Gestión de la Configuracion</v>
      </c>
      <c r="K8" s="8" t="s">
        <v>38</v>
      </c>
    </row>
    <row r="9" spans="1:11">
      <c r="A9" s="1" t="s">
        <v>34</v>
      </c>
      <c r="B9" s="1" t="s">
        <v>12</v>
      </c>
      <c r="C9" s="2">
        <v>2</v>
      </c>
      <c r="D9" s="1">
        <f>D8+10</f>
        <v>20</v>
      </c>
      <c r="E9" s="1" t="s">
        <v>35</v>
      </c>
      <c r="F9" s="1" t="s">
        <v>36</v>
      </c>
      <c r="G9" s="1" t="str">
        <f>CONCATENATE("PMOTI","_","0",Tabla3[[#This Row],[No. Fase]],Tabla3[[#This Row],[Orden del documento]],"_",Tabla3[[#This Row],[Iniciales de la Fase]],"_",Tabla3[[#This Row],[Iniciales Documento]])</f>
        <v>PMOTI_0220_PL_PGC</v>
      </c>
      <c r="H9" s="1" t="str">
        <f>CONCATENATE(Tabla3[[#This Row],[Clave]])</f>
        <v>PMOTI_0220_PL_PGC</v>
      </c>
      <c r="I9" s="1" t="s">
        <v>39</v>
      </c>
      <c r="J9" s="1" t="str">
        <f>CONCATENATE(Tabla3[[#This Row],[Clave]]," ",Tabla3[[#This Row],[Entregables]])</f>
        <v>PMOTI_0220_PL_PGC Plan de Gestión de Cambios</v>
      </c>
      <c r="K9" s="8" t="s">
        <v>40</v>
      </c>
    </row>
    <row r="10" spans="1:11">
      <c r="A10" s="1" t="s">
        <v>34</v>
      </c>
      <c r="B10" s="1" t="s">
        <v>12</v>
      </c>
      <c r="C10" s="2">
        <v>2</v>
      </c>
      <c r="D10" s="1">
        <f t="shared" ref="D10:D28" si="1">D9+10</f>
        <v>30</v>
      </c>
      <c r="E10" s="1" t="s">
        <v>35</v>
      </c>
      <c r="F10" s="1" t="s">
        <v>41</v>
      </c>
      <c r="G10" s="1" t="str">
        <f>CONCATENATE("PMOTI","_","0",Tabla3[[#This Row],[No. Fase]],Tabla3[[#This Row],[Orden del documento]],"_",Tabla3[[#This Row],[Iniciales de la Fase]],"_",Tabla3[[#This Row],[Iniciales Documento]])</f>
        <v>PMOTI_0230_PL_DA</v>
      </c>
      <c r="H10" s="1" t="str">
        <f>CONCATENATE(Tabla3[[#This Row],[Clave]])</f>
        <v>PMOTI_0230_PL_DA</v>
      </c>
      <c r="I10" s="1" t="s">
        <v>42</v>
      </c>
      <c r="J10" s="1" t="str">
        <f>CONCATENATE(Tabla3[[#This Row],[Clave]]," ",Tabla3[[#This Row],[Entregables]])</f>
        <v>PMOTI_0230_PL_DA Declaración de Alcance</v>
      </c>
      <c r="K10" s="8" t="s">
        <v>43</v>
      </c>
    </row>
    <row r="11" spans="1:11">
      <c r="A11" s="1" t="s">
        <v>34</v>
      </c>
      <c r="B11" s="1" t="s">
        <v>12</v>
      </c>
      <c r="C11" s="2">
        <v>2</v>
      </c>
      <c r="D11" s="1">
        <f t="shared" si="1"/>
        <v>40</v>
      </c>
      <c r="E11" s="1" t="s">
        <v>35</v>
      </c>
      <c r="F11" s="1" t="s">
        <v>44</v>
      </c>
      <c r="G11" s="1" t="str">
        <f>CONCATENATE("PMOTI","_","0",Tabla3[[#This Row],[No. Fase]],Tabla3[[#This Row],[Orden del documento]],"_",Tabla3[[#This Row],[Iniciales de la Fase]],"_",Tabla3[[#This Row],[Iniciales Documento]])</f>
        <v>PMOTI_0240_PL_DR</v>
      </c>
      <c r="H11" s="1" t="str">
        <f>CONCATENATE(Tabla3[[#This Row],[Clave]])</f>
        <v>PMOTI_0240_PL_DR</v>
      </c>
      <c r="I11" s="1" t="s">
        <v>45</v>
      </c>
      <c r="J11" s="1" t="str">
        <f>CONCATENATE(Tabla3[[#This Row],[Clave]]," ",Tabla3[[#This Row],[Entregables]])</f>
        <v>PMOTI_0240_PL_DR Documentación de Requisitos</v>
      </c>
      <c r="K11" s="8" t="s">
        <v>46</v>
      </c>
    </row>
    <row r="12" spans="1:11">
      <c r="A12" s="1" t="s">
        <v>34</v>
      </c>
      <c r="B12" s="1" t="s">
        <v>12</v>
      </c>
      <c r="C12" s="2">
        <v>2</v>
      </c>
      <c r="D12" s="1">
        <f t="shared" si="1"/>
        <v>50</v>
      </c>
      <c r="E12" s="1" t="s">
        <v>35</v>
      </c>
      <c r="F12" s="1" t="s">
        <v>47</v>
      </c>
      <c r="G12" s="1" t="str">
        <f>CONCATENATE("PMOTI","_","0",Tabla3[[#This Row],[No. Fase]],Tabla3[[#This Row],[Orden del documento]],"_",Tabla3[[#This Row],[Iniciales de la Fase]],"_",Tabla3[[#This Row],[Iniciales Documento]])</f>
        <v>PMOTI_0250_PL_PGR</v>
      </c>
      <c r="H12" s="1" t="str">
        <f>CONCATENATE(Tabla3[[#This Row],[Clave]])</f>
        <v>PMOTI_0250_PL_PGR</v>
      </c>
      <c r="I12" s="1" t="s">
        <v>48</v>
      </c>
      <c r="J12" s="1" t="str">
        <f>CONCATENATE(Tabla3[[#This Row],[Clave]]," ",Tabla3[[#This Row],[Entregables]])</f>
        <v>PMOTI_0250_PL_PGR Plan de Gestión de Requisitos</v>
      </c>
      <c r="K12" s="8" t="s">
        <v>49</v>
      </c>
    </row>
    <row r="13" spans="1:11">
      <c r="A13" s="1" t="s">
        <v>34</v>
      </c>
      <c r="B13" s="1" t="s">
        <v>12</v>
      </c>
      <c r="C13" s="2">
        <v>2</v>
      </c>
      <c r="D13" s="1">
        <f t="shared" si="1"/>
        <v>60</v>
      </c>
      <c r="E13" s="1" t="s">
        <v>35</v>
      </c>
      <c r="F13" s="1" t="s">
        <v>50</v>
      </c>
      <c r="G13" s="1" t="str">
        <f>CONCATENATE("PMOTI","_","0",Tabla3[[#This Row],[No. Fase]],Tabla3[[#This Row],[Orden del documento]],"_",Tabla3[[#This Row],[Iniciales de la Fase]],"_",Tabla3[[#This Row],[Iniciales Documento]])</f>
        <v>PMOTI_0260_PL_MTR</v>
      </c>
      <c r="H13" s="1" t="str">
        <f>CONCATENATE(Tabla3[[#This Row],[Clave]])</f>
        <v>PMOTI_0260_PL_MTR</v>
      </c>
      <c r="I13" s="1" t="s">
        <v>51</v>
      </c>
      <c r="J13" s="1" t="str">
        <f>CONCATENATE(Tabla3[[#This Row],[Clave]]," ",Tabla3[[#This Row],[Entregables]])</f>
        <v>PMOTI_0260_PL_MTR Matriz de Trazabilidad de Requisitos</v>
      </c>
      <c r="K13" s="8" t="s">
        <v>52</v>
      </c>
    </row>
    <row r="14" spans="1:11">
      <c r="A14" s="1" t="s">
        <v>34</v>
      </c>
      <c r="B14" s="1" t="s">
        <v>12</v>
      </c>
      <c r="C14" s="2">
        <v>2</v>
      </c>
      <c r="D14" s="1">
        <f t="shared" si="1"/>
        <v>70</v>
      </c>
      <c r="E14" s="1" t="s">
        <v>35</v>
      </c>
      <c r="F14" s="1" t="s">
        <v>53</v>
      </c>
      <c r="G14" s="1" t="str">
        <f>CONCATENATE("PMOTI","_","0",Tabla3[[#This Row],[No. Fase]],Tabla3[[#This Row],[Orden del documento]],"_",Tabla3[[#This Row],[Iniciales de la Fase]],"_",Tabla3[[#This Row],[Iniciales Documento]])</f>
        <v>PMOTI_0270_PL_PGP</v>
      </c>
      <c r="H14" s="1" t="str">
        <f>CONCATENATE(Tabla3[[#This Row],[Clave]])</f>
        <v>PMOTI_0270_PL_PGP</v>
      </c>
      <c r="I14" s="1" t="s">
        <v>54</v>
      </c>
      <c r="J14" s="1" t="str">
        <f>CONCATENATE(Tabla3[[#This Row],[Clave]]," ",Tabla3[[#This Row],[Entregables]])</f>
        <v>PMOTI_0270_PL_PGP Plan de Gestión de Proyecto</v>
      </c>
      <c r="K14" s="8" t="s">
        <v>55</v>
      </c>
    </row>
    <row r="15" spans="1:11">
      <c r="A15" s="1" t="s">
        <v>34</v>
      </c>
      <c r="B15" s="1" t="s">
        <v>12</v>
      </c>
      <c r="C15" s="2">
        <v>2</v>
      </c>
      <c r="D15" s="1">
        <f t="shared" si="1"/>
        <v>80</v>
      </c>
      <c r="E15" s="1" t="s">
        <v>35</v>
      </c>
      <c r="F15" s="1" t="s">
        <v>56</v>
      </c>
      <c r="G15" s="1" t="str">
        <f>CONCATENATE("PMOTI","_","0",Tabla3[[#This Row],[No. Fase]],Tabla3[[#This Row],[Orden del documento]],"_",Tabla3[[#This Row],[Iniciales de la Fase]],"_",Tabla3[[#This Row],[Iniciales Documento]])</f>
        <v>PMOTI_0280_PL_PGA</v>
      </c>
      <c r="H15" s="1" t="str">
        <f>CONCATENATE(Tabla3[[#This Row],[Clave]])</f>
        <v>PMOTI_0280_PL_PGA</v>
      </c>
      <c r="I15" s="1" t="s">
        <v>57</v>
      </c>
      <c r="J15" s="1" t="str">
        <f>CONCATENATE(Tabla3[[#This Row],[Clave]]," ",Tabla3[[#This Row],[Entregables]])</f>
        <v>PMOTI_0280_PL_PGA Plan de Gestión de Alcance</v>
      </c>
      <c r="K15" s="8" t="s">
        <v>58</v>
      </c>
    </row>
    <row r="16" spans="1:11">
      <c r="A16" s="1" t="s">
        <v>34</v>
      </c>
      <c r="B16" s="1" t="s">
        <v>12</v>
      </c>
      <c r="C16" s="2">
        <v>2</v>
      </c>
      <c r="D16" s="1">
        <f t="shared" si="1"/>
        <v>90</v>
      </c>
      <c r="E16" s="1" t="s">
        <v>35</v>
      </c>
      <c r="F16" s="1" t="s">
        <v>59</v>
      </c>
      <c r="G16" s="1" t="str">
        <f>CONCATENATE("PMOTI","_","0",Tabla3[[#This Row],[No. Fase]],Tabla3[[#This Row],[Orden del documento]],"_",Tabla3[[#This Row],[Iniciales de la Fase]],"_",Tabla3[[#This Row],[Iniciales Documento]])</f>
        <v>PMOTI_0290_PL_EDT</v>
      </c>
      <c r="H16" s="1" t="str">
        <f>CONCATENATE(Tabla3[[#This Row],[Clave]])</f>
        <v>PMOTI_0290_PL_EDT</v>
      </c>
      <c r="I16" s="1" t="s">
        <v>59</v>
      </c>
      <c r="J16" s="1" t="str">
        <f>CONCATENATE(Tabla3[[#This Row],[Clave]]," ",Tabla3[[#This Row],[Entregables]])</f>
        <v>PMOTI_0290_PL_EDT EDT</v>
      </c>
      <c r="K16" s="8" t="s">
        <v>60</v>
      </c>
    </row>
    <row r="17" spans="1:11">
      <c r="A17" s="1" t="s">
        <v>34</v>
      </c>
      <c r="B17" s="1" t="s">
        <v>12</v>
      </c>
      <c r="C17" s="2">
        <v>2</v>
      </c>
      <c r="D17" s="1">
        <f t="shared" si="1"/>
        <v>100</v>
      </c>
      <c r="E17" s="1" t="s">
        <v>35</v>
      </c>
      <c r="F17" s="1" t="s">
        <v>61</v>
      </c>
      <c r="G17" s="1" t="str">
        <f>CONCATENATE("PMOTI","_","0",Tabla3[[#This Row],[No. Fase]],Tabla3[[#This Row],[Orden del documento]],"_",Tabla3[[#This Row],[Iniciales de la Fase]],"_",Tabla3[[#This Row],[Iniciales Documento]])</f>
        <v>PMOTI_02100_PL_DEDT</v>
      </c>
      <c r="H17" s="1" t="str">
        <f>CONCATENATE(Tabla3[[#This Row],[Clave]])</f>
        <v>PMOTI_02100_PL_DEDT</v>
      </c>
      <c r="I17" s="1" t="s">
        <v>62</v>
      </c>
      <c r="J17" s="1" t="str">
        <f>CONCATENATE(Tabla3[[#This Row],[Clave]]," ",Tabla3[[#This Row],[Entregables]])</f>
        <v>PMOTI_02100_PL_DEDT Diccionario EDT (simplificado)</v>
      </c>
      <c r="K17" s="8" t="s">
        <v>63</v>
      </c>
    </row>
    <row r="18" spans="1:11">
      <c r="A18" s="1" t="s">
        <v>34</v>
      </c>
      <c r="B18" s="1" t="s">
        <v>12</v>
      </c>
      <c r="C18" s="2">
        <v>2</v>
      </c>
      <c r="D18" s="1">
        <f t="shared" si="1"/>
        <v>110</v>
      </c>
      <c r="E18" s="1" t="s">
        <v>35</v>
      </c>
      <c r="F18" s="1" t="s">
        <v>44</v>
      </c>
      <c r="G18" s="1" t="str">
        <f>CONCATENATE("PMOTI","_","0",Tabla3[[#This Row],[No. Fase]],Tabla3[[#This Row],[Orden del documento]],"_",Tabla3[[#This Row],[Iniciales de la Fase]],"_",Tabla3[[#This Row],[Iniciales Documento]])</f>
        <v>PMOTI_02110_PL_DR</v>
      </c>
      <c r="H18" s="1" t="str">
        <f>CONCATENATE(Tabla3[[#This Row],[Clave]])</f>
        <v>PMOTI_02110_PL_DR</v>
      </c>
      <c r="I18" s="1" t="s">
        <v>64</v>
      </c>
      <c r="J18" s="1" t="str">
        <f>CONCATENATE(Tabla3[[#This Row],[Clave]]," ",Tabla3[[#This Row],[Entregables]])</f>
        <v>PMOTI_02110_PL_DR Diagrama de Red</v>
      </c>
      <c r="K18" s="8" t="s">
        <v>65</v>
      </c>
    </row>
    <row r="19" spans="1:11">
      <c r="A19" s="1" t="s">
        <v>34</v>
      </c>
      <c r="B19" s="1" t="s">
        <v>12</v>
      </c>
      <c r="C19" s="2">
        <v>2</v>
      </c>
      <c r="D19" s="1">
        <f t="shared" si="1"/>
        <v>120</v>
      </c>
      <c r="E19" s="1" t="s">
        <v>35</v>
      </c>
      <c r="F19" s="1" t="s">
        <v>66</v>
      </c>
      <c r="G19" s="1" t="str">
        <f>CONCATENATE("PMOTI","_","0",Tabla3[[#This Row],[No. Fase]],Tabla3[[#This Row],[Orden del documento]],"_",Tabla3[[#This Row],[Iniciales de la Fase]],"_",Tabla3[[#This Row],[Iniciales Documento]])</f>
        <v>PMOTI_02120_PL_ER</v>
      </c>
      <c r="H19" s="1" t="str">
        <f>CONCATENATE(Tabla3[[#This Row],[Clave]])</f>
        <v>PMOTI_02120_PL_ER</v>
      </c>
      <c r="I19" s="1" t="s">
        <v>67</v>
      </c>
      <c r="J19" s="1" t="str">
        <f>CONCATENATE(Tabla3[[#This Row],[Clave]]," ",Tabla3[[#This Row],[Entregables]])</f>
        <v>PMOTI_02120_PL_ER Estimación de Recursos</v>
      </c>
      <c r="K19" s="8" t="s">
        <v>68</v>
      </c>
    </row>
    <row r="20" spans="1:11">
      <c r="A20" s="1" t="s">
        <v>34</v>
      </c>
      <c r="B20" s="1" t="s">
        <v>12</v>
      </c>
      <c r="C20" s="2">
        <v>2</v>
      </c>
      <c r="D20" s="1">
        <f t="shared" si="1"/>
        <v>130</v>
      </c>
      <c r="E20" s="1" t="s">
        <v>35</v>
      </c>
      <c r="F20" s="1" t="s">
        <v>69</v>
      </c>
      <c r="G20" s="1" t="str">
        <f>CONCATENATE("PMOTI","_","0",Tabla3[[#This Row],[No. Fase]],Tabla3[[#This Row],[Orden del documento]],"_",Tabla3[[#This Row],[Iniciales de la Fase]],"_",Tabla3[[#This Row],[Iniciales Documento]])</f>
        <v>PMOTI_02130_PL_CP</v>
      </c>
      <c r="H20" s="1" t="str">
        <f>CONCATENATE(Tabla3[[#This Row],[Clave]])</f>
        <v>PMOTI_02130_PL_CP</v>
      </c>
      <c r="I20" s="1" t="s">
        <v>70</v>
      </c>
      <c r="J20" s="1" t="str">
        <f>CONCATENATE(Tabla3[[#This Row],[Clave]]," ",Tabla3[[#This Row],[Entregables]])</f>
        <v>PMOTI_02130_PL_CP Cronograma del Proyecto</v>
      </c>
      <c r="K20" s="8" t="s">
        <v>71</v>
      </c>
    </row>
    <row r="21" spans="1:11">
      <c r="A21" s="1" t="s">
        <v>34</v>
      </c>
      <c r="B21" s="1" t="s">
        <v>12</v>
      </c>
      <c r="C21" s="2">
        <v>2</v>
      </c>
      <c r="D21" s="1">
        <f t="shared" si="1"/>
        <v>140</v>
      </c>
      <c r="E21" s="1" t="s">
        <v>35</v>
      </c>
      <c r="F21" s="1" t="s">
        <v>69</v>
      </c>
      <c r="G21" s="1" t="str">
        <f>CONCATENATE("PMOTI","_","0",Tabla3[[#This Row],[No. Fase]],Tabla3[[#This Row],[Orden del documento]],"_",Tabla3[[#This Row],[Iniciales de la Fase]],"_",Tabla3[[#This Row],[Iniciales Documento]])</f>
        <v>PMOTI_02140_PL_CP</v>
      </c>
      <c r="H21" s="1" t="str">
        <f>CONCATENATE(Tabla3[[#This Row],[Clave]])</f>
        <v>PMOTI_02140_PL_CP</v>
      </c>
      <c r="I21" s="1" t="s">
        <v>72</v>
      </c>
      <c r="J21" s="1" t="str">
        <f>CONCATENATE(Tabla3[[#This Row],[Clave]]," ",Tabla3[[#This Row],[Entregables]])</f>
        <v>PMOTI_02140_PL_CP Costos del Proyecto</v>
      </c>
      <c r="K21" s="8" t="s">
        <v>73</v>
      </c>
    </row>
    <row r="22" spans="1:11">
      <c r="A22" s="1" t="s">
        <v>34</v>
      </c>
      <c r="B22" s="1" t="s">
        <v>12</v>
      </c>
      <c r="C22" s="2">
        <v>2</v>
      </c>
      <c r="D22" s="1">
        <f t="shared" si="1"/>
        <v>150</v>
      </c>
      <c r="E22" s="1" t="s">
        <v>35</v>
      </c>
      <c r="F22" s="1" t="s">
        <v>74</v>
      </c>
      <c r="G22" s="1" t="str">
        <f>CONCATENATE("PMOTI","_","0",Tabla3[[#This Row],[No. Fase]],Tabla3[[#This Row],[Orden del documento]],"_",Tabla3[[#This Row],[Iniciales de la Fase]],"_",Tabla3[[#This Row],[Iniciales Documento]])</f>
        <v>PMOTI_02150_PL_PP</v>
      </c>
      <c r="H22" s="1" t="str">
        <f>CONCATENATE(Tabla3[[#This Row],[Clave]])</f>
        <v>PMOTI_02150_PL_PP</v>
      </c>
      <c r="I22" s="1" t="s">
        <v>75</v>
      </c>
      <c r="J22" s="1" t="str">
        <f>CONCATENATE(Tabla3[[#This Row],[Clave]]," ",Tabla3[[#This Row],[Entregables]])</f>
        <v>PMOTI_02150_PL_PP Presupuesto del Proyecto</v>
      </c>
      <c r="K22" s="8" t="s">
        <v>76</v>
      </c>
    </row>
    <row r="23" spans="1:11">
      <c r="A23" s="1" t="s">
        <v>34</v>
      </c>
      <c r="B23" s="1" t="s">
        <v>12</v>
      </c>
      <c r="C23" s="2">
        <v>2</v>
      </c>
      <c r="D23" s="1">
        <f t="shared" si="1"/>
        <v>160</v>
      </c>
      <c r="E23" s="1" t="s">
        <v>35</v>
      </c>
      <c r="F23" s="1" t="s">
        <v>77</v>
      </c>
      <c r="G23" s="1" t="str">
        <f>CONCATENATE("PMOTI","_","0",Tabla3[[#This Row],[No. Fase]],Tabla3[[#This Row],[Orden del documento]],"_",Tabla3[[#This Row],[Iniciales de la Fase]],"_",Tabla3[[#This Row],[Iniciales Documento]])</f>
        <v>PMOTI_02160_PL_JEP</v>
      </c>
      <c r="H23" s="1" t="str">
        <f>CONCATENATE(Tabla3[[#This Row],[Clave]])</f>
        <v>PMOTI_02160_PL_JEP</v>
      </c>
      <c r="I23" s="1" t="s">
        <v>78</v>
      </c>
      <c r="J23" s="1" t="str">
        <f>CONCATENATE(Tabla3[[#This Row],[Clave]]," ",Tabla3[[#This Row],[Entregables]])</f>
        <v>PMOTI_02160_PL_JEP Junta de Entregables de Planeación</v>
      </c>
      <c r="K23" s="8" t="s">
        <v>79</v>
      </c>
    </row>
    <row r="24" spans="1:11">
      <c r="A24" s="1" t="s">
        <v>34</v>
      </c>
      <c r="B24" s="4" t="s">
        <v>23</v>
      </c>
      <c r="C24" s="2">
        <v>2</v>
      </c>
      <c r="D24" s="1">
        <f t="shared" si="1"/>
        <v>170</v>
      </c>
      <c r="E24" s="1" t="s">
        <v>35</v>
      </c>
      <c r="F24" s="1" t="s">
        <v>27</v>
      </c>
      <c r="G24" s="1" t="str">
        <f>CONCATENATE("PMOTI","_","0",Tabla3[[#This Row],[No. Fase]],Tabla3[[#This Row],[Orden del documento]],"_",Tabla3[[#This Row],[Iniciales de la Fase]],"_",Tabla3[[#This Row],[Iniciales Documento]])</f>
        <v>PMOTI_02170_PL_ID</v>
      </c>
      <c r="H24" s="1" t="str">
        <f>CONCATENATE(Tabla3[[#This Row],[Clave]])</f>
        <v>PMOTI_02170_PL_ID</v>
      </c>
      <c r="I24" s="1" t="s">
        <v>28</v>
      </c>
      <c r="J24" s="1" t="str">
        <f>CONCATENATE(Tabla3[[#This Row],[Clave]]," ",Tabla3[[#This Row],[Entregables]])</f>
        <v>PMOTI_02170_PL_ID Informe de Desempeño Nº</v>
      </c>
      <c r="K24" s="8" t="s">
        <v>80</v>
      </c>
    </row>
    <row r="25" spans="1:11">
      <c r="A25" s="1" t="s">
        <v>34</v>
      </c>
      <c r="B25" s="4" t="s">
        <v>23</v>
      </c>
      <c r="C25" s="2">
        <v>2</v>
      </c>
      <c r="D25" s="1">
        <f t="shared" si="1"/>
        <v>180</v>
      </c>
      <c r="E25" s="1" t="s">
        <v>35</v>
      </c>
      <c r="F25" s="1" t="s">
        <v>24</v>
      </c>
      <c r="G25" s="1" t="str">
        <f>CONCATENATE("PMOTI","_","0",Tabla3[[#This Row],[No. Fase]],Tabla3[[#This Row],[Orden del documento]],"_",Tabla3[[#This Row],[Iniciales de la Fase]],"_",Tabla3[[#This Row],[Iniciales Documento]])</f>
        <v>PMOTI_02180_PL_SC</v>
      </c>
      <c r="H25" s="1" t="str">
        <f>CONCATENATE(Tabla3[[#This Row],[Clave]])</f>
        <v>PMOTI_02180_PL_SC</v>
      </c>
      <c r="I25" s="1" t="s">
        <v>25</v>
      </c>
      <c r="J25" s="1" t="str">
        <f>CONCATENATE(Tabla3[[#This Row],[Clave]]," ",Tabla3[[#This Row],[Entregables]])</f>
        <v>PMOTI_02180_PL_SC Solicitud de Cambio Nº</v>
      </c>
      <c r="K25" s="8" t="s">
        <v>81</v>
      </c>
    </row>
    <row r="26" spans="1:11">
      <c r="A26" s="1" t="s">
        <v>34</v>
      </c>
      <c r="B26" s="4" t="s">
        <v>23</v>
      </c>
      <c r="C26" s="2">
        <v>2</v>
      </c>
      <c r="D26" s="1">
        <f t="shared" si="1"/>
        <v>190</v>
      </c>
      <c r="E26" s="1" t="s">
        <v>35</v>
      </c>
      <c r="F26" s="1" t="s">
        <v>82</v>
      </c>
      <c r="G26" s="1" t="str">
        <f>CONCATENATE("PMOTI","_","0",Tabla3[[#This Row],[No. Fase]],Tabla3[[#This Row],[Orden del documento]],"_",Tabla3[[#This Row],[Iniciales de la Fase]],"_",Tabla3[[#This Row],[Iniciales Documento]])</f>
        <v>PMOTI_02190_PL_RCT</v>
      </c>
      <c r="H26" s="1" t="str">
        <f>CONCATENATE(Tabla3[[#This Row],[Clave]])</f>
        <v>PMOTI_02190_PL_RCT</v>
      </c>
      <c r="I26" s="1" t="s">
        <v>83</v>
      </c>
      <c r="J26" s="1" t="str">
        <f>CONCATENATE(Tabla3[[#This Row],[Clave]]," ",Tabla3[[#This Row],[Entregables]])</f>
        <v>PMOTI_02190_PL_RCT Reunion de Control de Trabajo Nº</v>
      </c>
      <c r="K26" s="3"/>
    </row>
    <row r="27" spans="1:11">
      <c r="A27" s="1" t="s">
        <v>34</v>
      </c>
      <c r="B27" s="4" t="s">
        <v>23</v>
      </c>
      <c r="C27" s="2">
        <v>2</v>
      </c>
      <c r="D27" s="1">
        <f t="shared" si="1"/>
        <v>200</v>
      </c>
      <c r="E27" s="1" t="s">
        <v>35</v>
      </c>
      <c r="F27" s="1" t="s">
        <v>84</v>
      </c>
      <c r="G27" s="1" t="str">
        <f>CONCATENATE("PMOTI","_","0",Tabla3[[#This Row],[No. Fase]],Tabla3[[#This Row],[Orden del documento]],"_",Tabla3[[#This Row],[Iniciales de la Fase]],"_",Tabla3[[#This Row],[Iniciales Documento]])</f>
        <v>PMOTI_02200_PL_RC</v>
      </c>
      <c r="H27" s="1" t="str">
        <f>CONCATENATE(Tabla3[[#This Row],[Clave]])</f>
        <v>PMOTI_02200_PL_RC</v>
      </c>
      <c r="I27" s="1" t="s">
        <v>85</v>
      </c>
      <c r="J27" s="1" t="str">
        <f>CONCATENATE(Tabla3[[#This Row],[Clave]]," ",Tabla3[[#This Row],[Entregables]])</f>
        <v>PMOTI_02200_PL_RC Reunion de Control Nº</v>
      </c>
      <c r="K27" s="8" t="s">
        <v>86</v>
      </c>
    </row>
    <row r="28" spans="1:11">
      <c r="A28" s="1" t="s">
        <v>34</v>
      </c>
      <c r="B28" s="1" t="s">
        <v>30</v>
      </c>
      <c r="C28" s="2">
        <v>2</v>
      </c>
      <c r="D28" s="1">
        <f t="shared" si="1"/>
        <v>210</v>
      </c>
      <c r="E28" s="1" t="s">
        <v>35</v>
      </c>
      <c r="F28" s="1" t="s">
        <v>87</v>
      </c>
      <c r="G28" s="1" t="str">
        <f>CONCATENATE("PMOTI","_","0",Tabla3[[#This Row],[No. Fase]],Tabla3[[#This Row],[Orden del documento]],"_",Tabla3[[#This Row],[Iniciales de la Fase]],"_",Tabla3[[#This Row],[Iniciales Documento]])</f>
        <v>PMOTI_02210_PL_ACFP</v>
      </c>
      <c r="H28" s="1" t="str">
        <f>CONCATENATE(Tabla3[[#This Row],[Clave]])</f>
        <v>PMOTI_02210_PL_ACFP</v>
      </c>
      <c r="I28" s="1" t="s">
        <v>88</v>
      </c>
      <c r="J28" s="1" t="str">
        <f>CONCATENATE(Tabla3[[#This Row],[Clave]]," ",Tabla3[[#This Row],[Entregables]])</f>
        <v>PMOTI_02210_PL_ACFP Acta de Cierre de la Fase de Planeación</v>
      </c>
      <c r="K28" s="8" t="s">
        <v>89</v>
      </c>
    </row>
    <row r="29" spans="1:11" s="3" customFormat="1">
      <c r="A29" s="3" t="s">
        <v>90</v>
      </c>
      <c r="B29" s="1" t="s">
        <v>12</v>
      </c>
      <c r="C29" s="9">
        <v>3</v>
      </c>
      <c r="D29" s="3">
        <v>10</v>
      </c>
      <c r="E29" s="3" t="s">
        <v>91</v>
      </c>
      <c r="F29" s="3" t="s">
        <v>53</v>
      </c>
      <c r="G29" s="3" t="str">
        <f>CONCATENATE("PMOTI","_","0",Tabla3[[#This Row],[No. Fase]],Tabla3[[#This Row],[Orden del documento]],"_",Tabla3[[#This Row],[Iniciales de la Fase]],"_",Tabla3[[#This Row],[Iniciales Documento]])</f>
        <v>PMOTI_0310_EJ_PGP</v>
      </c>
      <c r="H29" s="3" t="str">
        <f>CONCATENATE(Tabla3[[#This Row],[Clave]])</f>
        <v>PMOTI_0310_EJ_PGP</v>
      </c>
      <c r="I29" s="3" t="s">
        <v>54</v>
      </c>
      <c r="J29" s="3" t="str">
        <f>CONCATENATE(Tabla3[[#This Row],[Clave]]," ",Tabla3[[#This Row],[Entregables]])</f>
        <v>PMOTI_0310_EJ_PGP Plan de Gestión de Proyecto</v>
      </c>
      <c r="K29" s="10" t="s">
        <v>92</v>
      </c>
    </row>
    <row r="30" spans="1:11" s="3" customFormat="1">
      <c r="A30" s="3" t="s">
        <v>90</v>
      </c>
      <c r="B30" s="1" t="s">
        <v>12</v>
      </c>
      <c r="C30" s="9">
        <v>3</v>
      </c>
      <c r="D30" s="3">
        <f>10+D29</f>
        <v>20</v>
      </c>
      <c r="E30" s="3" t="s">
        <v>91</v>
      </c>
      <c r="F30" s="3" t="s">
        <v>93</v>
      </c>
      <c r="G30" s="3" t="str">
        <f>CONCATENATE("PMOTI","_","0",Tabla3[[#This Row],[No. Fase]],Tabla3[[#This Row],[Orden del documento]],"_",Tabla3[[#This Row],[Iniciales de la Fase]],"_",Tabla3[[#This Row],[Iniciales Documento]])</f>
        <v>PMOTI_0320_EJ_JEE</v>
      </c>
      <c r="H30" s="3" t="str">
        <f>CONCATENATE(Tabla3[[#This Row],[Clave]])</f>
        <v>PMOTI_0320_EJ_JEE</v>
      </c>
      <c r="I30" s="3" t="s">
        <v>94</v>
      </c>
      <c r="J30" s="3" t="str">
        <f>CONCATENATE(Tabla3[[#This Row],[Clave]]," ",Tabla3[[#This Row],[Entregables]])</f>
        <v>PMOTI_0320_EJ_JEE Junta de Entregables de Ejecución</v>
      </c>
      <c r="K30" s="10" t="s">
        <v>95</v>
      </c>
    </row>
    <row r="31" spans="1:11" s="3" customFormat="1">
      <c r="A31" s="3" t="s">
        <v>90</v>
      </c>
      <c r="B31" s="4" t="s">
        <v>23</v>
      </c>
      <c r="C31" s="9">
        <v>3</v>
      </c>
      <c r="D31" s="3">
        <f t="shared" ref="D31:D35" si="2">10+D30</f>
        <v>30</v>
      </c>
      <c r="E31" s="3" t="s">
        <v>91</v>
      </c>
      <c r="F31" s="3" t="s">
        <v>24</v>
      </c>
      <c r="G31" s="3" t="str">
        <f>CONCATENATE("PMOTI","_","0",Tabla3[[#This Row],[No. Fase]],Tabla3[[#This Row],[Orden del documento]],"_",Tabla3[[#This Row],[Iniciales de la Fase]],"_",Tabla3[[#This Row],[Iniciales Documento]])</f>
        <v>PMOTI_0330_EJ_SC</v>
      </c>
      <c r="H31" s="3" t="str">
        <f>CONCATENATE(Tabla3[[#This Row],[Clave]])</f>
        <v>PMOTI_0330_EJ_SC</v>
      </c>
      <c r="I31" s="3" t="s">
        <v>25</v>
      </c>
      <c r="J31" s="3" t="str">
        <f>CONCATENATE(Tabla3[[#This Row],[Clave]]," ",Tabla3[[#This Row],[Entregables]])</f>
        <v>PMOTI_0330_EJ_SC Solicitud de Cambio Nº</v>
      </c>
      <c r="K31" s="10" t="s">
        <v>96</v>
      </c>
    </row>
    <row r="32" spans="1:11" s="3" customFormat="1">
      <c r="A32" s="3" t="s">
        <v>90</v>
      </c>
      <c r="B32" s="4" t="s">
        <v>23</v>
      </c>
      <c r="C32" s="9">
        <v>3</v>
      </c>
      <c r="D32" s="3">
        <f t="shared" si="2"/>
        <v>40</v>
      </c>
      <c r="E32" s="3" t="s">
        <v>91</v>
      </c>
      <c r="F32" s="3" t="s">
        <v>27</v>
      </c>
      <c r="G32" s="3" t="str">
        <f>CONCATENATE("PMOTI","_","0",Tabla3[[#This Row],[No. Fase]],Tabla3[[#This Row],[Orden del documento]],"_",Tabla3[[#This Row],[Iniciales de la Fase]],"_",Tabla3[[#This Row],[Iniciales Documento]])</f>
        <v>PMOTI_0340_EJ_ID</v>
      </c>
      <c r="H32" s="3" t="str">
        <f>CONCATENATE(Tabla3[[#This Row],[Clave]])</f>
        <v>PMOTI_0340_EJ_ID</v>
      </c>
      <c r="I32" s="3" t="s">
        <v>28</v>
      </c>
      <c r="J32" s="3" t="str">
        <f>CONCATENATE(Tabla3[[#This Row],[Clave]]," ",Tabla3[[#This Row],[Entregables]])</f>
        <v>PMOTI_0340_EJ_ID Informe de Desempeño Nº</v>
      </c>
      <c r="K32" s="10" t="s">
        <v>97</v>
      </c>
    </row>
    <row r="33" spans="1:11" s="3" customFormat="1">
      <c r="A33" s="3" t="s">
        <v>90</v>
      </c>
      <c r="B33" s="4" t="s">
        <v>23</v>
      </c>
      <c r="C33" s="9">
        <v>3</v>
      </c>
      <c r="D33" s="3">
        <f t="shared" si="2"/>
        <v>50</v>
      </c>
      <c r="E33" s="3" t="s">
        <v>91</v>
      </c>
      <c r="F33" s="3" t="s">
        <v>84</v>
      </c>
      <c r="G33" s="3" t="str">
        <f>CONCATENATE("PMOTI","_","0",Tabla3[[#This Row],[No. Fase]],Tabla3[[#This Row],[Orden del documento]],"_",Tabla3[[#This Row],[Iniciales de la Fase]],"_",Tabla3[[#This Row],[Iniciales Documento]])</f>
        <v>PMOTI_0350_EJ_RC</v>
      </c>
      <c r="H33" s="3" t="str">
        <f>CONCATENATE(Tabla3[[#This Row],[Clave]])</f>
        <v>PMOTI_0350_EJ_RC</v>
      </c>
      <c r="I33" s="3" t="s">
        <v>85</v>
      </c>
      <c r="J33" s="3" t="str">
        <f>CONCATENATE(Tabla3[[#This Row],[Clave]]," ",Tabla3[[#This Row],[Entregables]])</f>
        <v>PMOTI_0350_EJ_RC Reunion de Control Nº</v>
      </c>
      <c r="K33" s="8" t="s">
        <v>98</v>
      </c>
    </row>
    <row r="34" spans="1:11" s="3" customFormat="1">
      <c r="A34" s="3" t="s">
        <v>90</v>
      </c>
      <c r="B34" s="4" t="s">
        <v>23</v>
      </c>
      <c r="C34" s="9">
        <v>3</v>
      </c>
      <c r="D34" s="3">
        <f t="shared" si="2"/>
        <v>60</v>
      </c>
      <c r="E34" s="3" t="s">
        <v>91</v>
      </c>
      <c r="F34" s="3" t="s">
        <v>99</v>
      </c>
      <c r="G34" s="3" t="str">
        <f>CONCATENATE("PMOTI","_","0",Tabla3[[#This Row],[No. Fase]],Tabla3[[#This Row],[Orden del documento]],"_",Tabla3[[#This Row],[Iniciales de la Fase]],"_",Tabla3[[#This Row],[Iniciales Documento]])</f>
        <v>PMOTI_0360_EJ_ECG</v>
      </c>
      <c r="H34" s="3" t="str">
        <f>CONCATENATE(Tabla3[[#This Row],[Clave]])</f>
        <v>PMOTI_0360_EJ_ECG</v>
      </c>
      <c r="I34" s="3" t="s">
        <v>100</v>
      </c>
      <c r="J34" s="3" t="str">
        <f>CONCATENATE(Tabla3[[#This Row],[Clave]]," ",Tabla3[[#This Row],[Entregables]])</f>
        <v>PMOTI_0360_EJ_ECG Evaluación de Competencias Generales Nº</v>
      </c>
      <c r="K34" s="10" t="s">
        <v>101</v>
      </c>
    </row>
    <row r="35" spans="1:11" s="3" customFormat="1">
      <c r="A35" s="3" t="s">
        <v>90</v>
      </c>
      <c r="B35" s="1" t="s">
        <v>30</v>
      </c>
      <c r="C35" s="9">
        <v>3</v>
      </c>
      <c r="D35" s="3">
        <f t="shared" si="2"/>
        <v>70</v>
      </c>
      <c r="E35" s="3" t="s">
        <v>91</v>
      </c>
      <c r="F35" s="3" t="s">
        <v>102</v>
      </c>
      <c r="G35" s="3" t="str">
        <f>CONCATENATE("PMOTI","_","0",Tabla3[[#This Row],[No. Fase]],Tabla3[[#This Row],[Orden del documento]],"_",Tabla3[[#This Row],[Iniciales de la Fase]],"_",Tabla3[[#This Row],[Iniciales Documento]])</f>
        <v>PMOTI_0370_EJ_ACFE</v>
      </c>
      <c r="H35" s="3" t="str">
        <f>CONCATENATE(Tabla3[[#This Row],[Clave]])</f>
        <v>PMOTI_0370_EJ_ACFE</v>
      </c>
      <c r="I35" s="3" t="s">
        <v>103</v>
      </c>
      <c r="J35" s="3" t="str">
        <f>CONCATENATE(Tabla3[[#This Row],[Clave]]," ",Tabla3[[#This Row],[Entregables]])</f>
        <v>PMOTI_0370_EJ_ACFE Acta de Cierre de la Fase de Ejecución</v>
      </c>
      <c r="K35" s="10" t="s">
        <v>104</v>
      </c>
    </row>
    <row r="36" spans="1:11">
      <c r="A36" s="1" t="s">
        <v>30</v>
      </c>
      <c r="B36" s="1" t="s">
        <v>12</v>
      </c>
      <c r="C36" s="2">
        <v>4</v>
      </c>
      <c r="D36" s="1">
        <v>10</v>
      </c>
      <c r="E36" s="1" t="s">
        <v>105</v>
      </c>
      <c r="F36" s="1" t="s">
        <v>106</v>
      </c>
      <c r="G36" s="1" t="str">
        <f>CONCATENATE("PMOTI","_","0",Tabla3[[#This Row],[No. Fase]],Tabla3[[#This Row],[Orden del documento]],"_",Tabla3[[#This Row],[Iniciales de la Fase]],"_",Tabla3[[#This Row],[Iniciales Documento]])</f>
        <v>PMOTI_0410_CI_AAP</v>
      </c>
      <c r="H36" s="1" t="str">
        <f>CONCATENATE(Tabla3[[#This Row],[Clave]])</f>
        <v>PMOTI_0410_CI_AAP</v>
      </c>
      <c r="I36" s="1" t="s">
        <v>107</v>
      </c>
      <c r="J36" s="1" t="str">
        <f>CONCATENATE(Tabla3[[#This Row],[Clave]]," ",Tabla3[[#This Row],[Entregables]])</f>
        <v>PMOTI_0410_CI_AAP Acta de Aceptación de Proyecto</v>
      </c>
      <c r="K36" s="8" t="s">
        <v>108</v>
      </c>
    </row>
    <row r="37" spans="1:11">
      <c r="A37" s="1" t="s">
        <v>30</v>
      </c>
      <c r="B37" s="1" t="s">
        <v>12</v>
      </c>
      <c r="C37" s="2">
        <v>4</v>
      </c>
      <c r="D37" s="1">
        <f>10+D36</f>
        <v>20</v>
      </c>
      <c r="E37" s="1" t="s">
        <v>105</v>
      </c>
      <c r="F37" s="1" t="s">
        <v>109</v>
      </c>
      <c r="G37" s="1" t="str">
        <f>CONCATENATE("PMOTI","_","0",Tabla3[[#This Row],[No. Fase]],Tabla3[[#This Row],[Orden del documento]],"_",Tabla3[[#This Row],[Iniciales de la Fase]],"_",Tabla3[[#This Row],[Iniciales Documento]])</f>
        <v>PMOTI_0420_CI_GDP</v>
      </c>
      <c r="H37" s="1" t="str">
        <f>CONCATENATE(Tabla3[[#This Row],[Clave]])</f>
        <v>PMOTI_0420_CI_GDP</v>
      </c>
      <c r="I37" s="1" t="s">
        <v>110</v>
      </c>
      <c r="J37" s="1" t="str">
        <f>CONCATENATE(Tabla3[[#This Row],[Clave]]," ",Tabla3[[#This Row],[Entregables]])</f>
        <v>PMOTI_0420_CI_GDP Gestión de Documentos del Proyecto</v>
      </c>
    </row>
    <row r="38" spans="1:11">
      <c r="A38" s="1" t="s">
        <v>30</v>
      </c>
      <c r="B38" s="1" t="s">
        <v>12</v>
      </c>
      <c r="C38" s="2">
        <v>4</v>
      </c>
      <c r="D38" s="1">
        <f t="shared" ref="D38:D42" si="3">10+D37</f>
        <v>30</v>
      </c>
      <c r="E38" s="1" t="s">
        <v>105</v>
      </c>
      <c r="F38" s="1" t="s">
        <v>111</v>
      </c>
      <c r="G38" s="1" t="str">
        <f>CONCATENATE("PMOTI","_","0",Tabla3[[#This Row],[No. Fase]],Tabla3[[#This Row],[Orden del documento]],"_",Tabla3[[#This Row],[Iniciales de la Fase]],"_",Tabla3[[#This Row],[Iniciales Documento]])</f>
        <v>PMOTI_0430_CI_JEC</v>
      </c>
      <c r="H38" s="1" t="str">
        <f>CONCATENATE(Tabla3[[#This Row],[Clave]])</f>
        <v>PMOTI_0430_CI_JEC</v>
      </c>
      <c r="I38" s="1" t="s">
        <v>112</v>
      </c>
      <c r="J38" s="1" t="str">
        <f>CONCATENATE(Tabla3[[#This Row],[Clave]]," ",Tabla3[[#This Row],[Entregables]])</f>
        <v>PMOTI_0430_CI_JEC Junta de Entregables de Cierre</v>
      </c>
      <c r="K38" s="8" t="s">
        <v>113</v>
      </c>
    </row>
    <row r="39" spans="1:11">
      <c r="A39" s="1" t="s">
        <v>30</v>
      </c>
      <c r="B39" s="4" t="s">
        <v>23</v>
      </c>
      <c r="C39" s="2">
        <v>4</v>
      </c>
      <c r="D39" s="1">
        <f t="shared" si="3"/>
        <v>40</v>
      </c>
      <c r="E39" s="1" t="s">
        <v>105</v>
      </c>
      <c r="F39" s="1" t="s">
        <v>24</v>
      </c>
      <c r="G39" s="1" t="str">
        <f>CONCATENATE("PMOTI","_","0",Tabla3[[#This Row],[No. Fase]],Tabla3[[#This Row],[Orden del documento]],"_",Tabla3[[#This Row],[Iniciales de la Fase]],"_",Tabla3[[#This Row],[Iniciales Documento]])</f>
        <v>PMOTI_0440_CI_SC</v>
      </c>
      <c r="H39" s="1" t="str">
        <f>CONCATENATE(Tabla3[[#This Row],[Clave]])</f>
        <v>PMOTI_0440_CI_SC</v>
      </c>
      <c r="I39" s="1" t="s">
        <v>25</v>
      </c>
      <c r="J39" s="1" t="str">
        <f>CONCATENATE(Tabla3[[#This Row],[Clave]]," ",Tabla3[[#This Row],[Entregables]])</f>
        <v>PMOTI_0440_CI_SC Solicitud de Cambio Nº</v>
      </c>
      <c r="K39" s="8" t="s">
        <v>114</v>
      </c>
    </row>
    <row r="40" spans="1:11">
      <c r="A40" s="1" t="s">
        <v>30</v>
      </c>
      <c r="B40" s="4" t="s">
        <v>23</v>
      </c>
      <c r="C40" s="2">
        <v>4</v>
      </c>
      <c r="D40" s="1">
        <f t="shared" si="3"/>
        <v>50</v>
      </c>
      <c r="E40" s="1" t="s">
        <v>105</v>
      </c>
      <c r="F40" s="1" t="s">
        <v>27</v>
      </c>
      <c r="G40" s="1" t="str">
        <f>CONCATENATE("PMOTI","_","0",Tabla3[[#This Row],[No. Fase]],Tabla3[[#This Row],[Orden del documento]],"_",Tabla3[[#This Row],[Iniciales de la Fase]],"_",Tabla3[[#This Row],[Iniciales Documento]])</f>
        <v>PMOTI_0450_CI_ID</v>
      </c>
      <c r="H40" s="1" t="str">
        <f>CONCATENATE(Tabla3[[#This Row],[Clave]])</f>
        <v>PMOTI_0450_CI_ID</v>
      </c>
      <c r="I40" s="1" t="s">
        <v>28</v>
      </c>
      <c r="J40" s="1" t="str">
        <f>CONCATENATE(Tabla3[[#This Row],[Clave]]," ",Tabla3[[#This Row],[Entregables]])</f>
        <v>PMOTI_0450_CI_ID Informe de Desempeño Nº</v>
      </c>
      <c r="K40" s="8" t="s">
        <v>115</v>
      </c>
    </row>
    <row r="41" spans="1:11">
      <c r="A41" s="1" t="s">
        <v>30</v>
      </c>
      <c r="B41" s="4" t="s">
        <v>23</v>
      </c>
      <c r="C41" s="2">
        <v>4</v>
      </c>
      <c r="D41" s="1">
        <f t="shared" si="3"/>
        <v>60</v>
      </c>
      <c r="E41" s="1" t="s">
        <v>105</v>
      </c>
      <c r="F41" s="1" t="s">
        <v>84</v>
      </c>
      <c r="G41" s="1" t="str">
        <f>CONCATENATE("PMOTI","_","0",Tabla3[[#This Row],[No. Fase]],Tabla3[[#This Row],[Orden del documento]],"_",Tabla3[[#This Row],[Iniciales de la Fase]],"_",Tabla3[[#This Row],[Iniciales Documento]])</f>
        <v>PMOTI_0460_CI_RC</v>
      </c>
      <c r="H41" s="1" t="str">
        <f>CONCATENATE(Tabla3[[#This Row],[Clave]])</f>
        <v>PMOTI_0460_CI_RC</v>
      </c>
      <c r="I41" s="1" t="s">
        <v>85</v>
      </c>
      <c r="J41" s="1" t="str">
        <f>CONCATENATE(Tabla3[[#This Row],[Clave]]," ",Tabla3[[#This Row],[Entregables]])</f>
        <v>PMOTI_0460_CI_RC Reunion de Control Nº</v>
      </c>
      <c r="K41" s="8" t="s">
        <v>116</v>
      </c>
    </row>
    <row r="42" spans="1:11">
      <c r="A42" s="1" t="s">
        <v>30</v>
      </c>
      <c r="B42" s="1" t="s">
        <v>30</v>
      </c>
      <c r="C42" s="2">
        <v>4</v>
      </c>
      <c r="D42" s="1">
        <f t="shared" si="3"/>
        <v>70</v>
      </c>
      <c r="E42" s="1" t="s">
        <v>105</v>
      </c>
      <c r="F42" s="1" t="s">
        <v>117</v>
      </c>
      <c r="G42" s="1" t="str">
        <f>CONCATENATE("PMOTI","_","0",Tabla3[[#This Row],[No. Fase]],Tabla3[[#This Row],[Orden del documento]],"_",Tabla3[[#This Row],[Iniciales de la Fase]],"_",Tabla3[[#This Row],[Iniciales Documento]])</f>
        <v>PMOTI_0470_CI_ACFC</v>
      </c>
      <c r="H42" s="1" t="str">
        <f>CONCATENATE(Tabla3[[#This Row],[Clave]])</f>
        <v>PMOTI_0470_CI_ACFC</v>
      </c>
      <c r="I42" s="1" t="s">
        <v>118</v>
      </c>
      <c r="J42" s="1" t="str">
        <f>CONCATENATE(Tabla3[[#This Row],[Clave]]," ",Tabla3[[#This Row],[Entregables]])</f>
        <v>PMOTI_0470_CI_ACFC Acta de Cierre de la Fase de Cierre</v>
      </c>
      <c r="K42" s="8" t="s">
        <v>119</v>
      </c>
    </row>
  </sheetData>
  <hyperlinks>
    <hyperlink ref="K3" r:id="rId1" xr:uid="{2B361459-5CA5-41A2-B8B1-33A522395906}"/>
    <hyperlink ref="K2" r:id="rId2" xr:uid="{30527600-323D-408D-8665-90AABA6E8EFB}"/>
    <hyperlink ref="K4" r:id="rId3" xr:uid="{AC5DD461-DCFF-4CCD-B68B-965603687B1C}"/>
    <hyperlink ref="K5" r:id="rId4" xr:uid="{3E3BDB11-E0CD-45D3-B684-F417D98E7DF4}"/>
    <hyperlink ref="K6" r:id="rId5" xr:uid="{20AB8382-072C-4BC0-A2D6-21F468D528DF}"/>
    <hyperlink ref="K7" r:id="rId6" xr:uid="{7C9DD2C8-5B38-4E72-80C0-E2B4D30223B3}"/>
    <hyperlink ref="K8" r:id="rId7" xr:uid="{C432F434-8329-40DB-9A67-EA074A211D99}"/>
    <hyperlink ref="K9" r:id="rId8" xr:uid="{C4E553E5-CDF8-4D06-AEB1-39E365037E6C}"/>
    <hyperlink ref="K10" r:id="rId9" xr:uid="{8D232132-E27E-4BB3-A02C-DBE55719AD81}"/>
    <hyperlink ref="K11" r:id="rId10" xr:uid="{81925749-B9C2-4C2E-AE8D-6A7A91F7D0F6}"/>
    <hyperlink ref="K12" r:id="rId11" xr:uid="{0DCFFEA3-98FC-4B2B-8F8C-7B534524AF7B}"/>
    <hyperlink ref="K13" r:id="rId12" xr:uid="{12FFD4AC-F5E2-4B92-A6C1-5537EE94E111}"/>
    <hyperlink ref="K14" r:id="rId13" xr:uid="{FA1420A5-0D69-452F-8AF1-BED103C2D26C}"/>
    <hyperlink ref="K15" r:id="rId14" xr:uid="{BBC5AFB1-6369-4D02-83BA-A2EC304DC94A}"/>
    <hyperlink ref="K16" r:id="rId15" xr:uid="{16FCBC9F-0CCE-43E2-9CED-A7843B716CDA}"/>
    <hyperlink ref="K17" r:id="rId16" xr:uid="{CD4A76BF-5CC4-4D36-A6B9-EE18B29B7020}"/>
    <hyperlink ref="K18" r:id="rId17" xr:uid="{A2882AAC-BB65-4E23-A986-AA2882B48130}"/>
    <hyperlink ref="K19" r:id="rId18" xr:uid="{04097EEA-731C-4986-AEAA-64E23D9887F2}"/>
    <hyperlink ref="K20" r:id="rId19" xr:uid="{745F1A0C-2F50-4E41-AE4A-1431B75EE265}"/>
    <hyperlink ref="K21" r:id="rId20" xr:uid="{18CBDD7B-109F-4203-A737-DE8C18722311}"/>
    <hyperlink ref="K23" r:id="rId21" xr:uid="{E753B7A6-7489-4356-A60D-781796FCD3EA}"/>
    <hyperlink ref="K22" r:id="rId22" xr:uid="{FEA0560D-BACF-4170-B829-27260A7F4442}"/>
    <hyperlink ref="K24" r:id="rId23" xr:uid="{5ACBB874-C41A-43CB-BC55-1F19F63FEAF8}"/>
    <hyperlink ref="K25" r:id="rId24" xr:uid="{1234A530-28E1-4716-841E-FFCCCA87289A}"/>
    <hyperlink ref="K28" r:id="rId25" xr:uid="{B69B97D2-AD9D-45C2-886D-BDB7AB003260}"/>
    <hyperlink ref="K30" r:id="rId26" xr:uid="{C3526E59-BDD1-427F-A1E7-B74C1B815E85}"/>
    <hyperlink ref="K29" r:id="rId27" xr:uid="{C68DB96B-616B-46E1-88CB-067A713F218F}"/>
    <hyperlink ref="K32" r:id="rId28" xr:uid="{A69D0594-E670-4790-A428-9AB119A17038}"/>
    <hyperlink ref="K31" r:id="rId29" xr:uid="{5017BF34-5AC5-4FDE-9D16-CC768667812B}"/>
    <hyperlink ref="K34" r:id="rId30" xr:uid="{69D1802E-8182-44CE-8663-C02B738CE195}"/>
    <hyperlink ref="K35" r:id="rId31" xr:uid="{2975D48E-2ECA-4274-BB7D-4B6643AABFB1}"/>
    <hyperlink ref="K36" r:id="rId32" xr:uid="{E0ECD739-5C93-4B2C-8BD5-132C88E6DFBB}"/>
    <hyperlink ref="K40" r:id="rId33" xr:uid="{96DDC024-8761-4EB9-B929-90530E72008A}"/>
    <hyperlink ref="K39" r:id="rId34" xr:uid="{9EFB7C37-E44C-4922-9369-86ADBCFB1B38}"/>
    <hyperlink ref="K38" r:id="rId35" xr:uid="{3B266F27-D72C-4F59-8904-C75A6D13E5D3}"/>
    <hyperlink ref="K42" r:id="rId36" xr:uid="{663431B9-1093-4A59-B933-C17134537AE1}"/>
    <hyperlink ref="K27" r:id="rId37" xr:uid="{F6139D8C-2B06-480F-9C2D-75910086E106}"/>
    <hyperlink ref="K33" r:id="rId38" xr:uid="{94ACF3DC-A586-4B11-85DC-9A1377BB56A9}"/>
    <hyperlink ref="K41" r:id="rId39" xr:uid="{6E65DB43-38F6-4290-B67D-4E3F2D4357FE}"/>
  </hyperlinks>
  <pageMargins left="0.7" right="0.7" top="0.75" bottom="0.75" header="0.3" footer="0.3"/>
  <pageSetup paperSize="9" orientation="portrait" r:id="rId40"/>
  <tableParts count="1">
    <tablePart r:id="rId4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758B-E83C-4620-A3C2-30556EF8CC45}">
  <dimension ref="A1:G92"/>
  <sheetViews>
    <sheetView topLeftCell="A42" workbookViewId="0">
      <selection activeCell="C49" sqref="C49"/>
    </sheetView>
  </sheetViews>
  <sheetFormatPr defaultRowHeight="15"/>
  <cols>
    <col min="1" max="1" width="73.42578125" style="4" bestFit="1" customWidth="1"/>
    <col min="2" max="2" width="11.5703125" style="4" bestFit="1" customWidth="1"/>
    <col min="3" max="3" width="29.140625" style="4" bestFit="1" customWidth="1"/>
    <col min="4" max="4" width="11.140625" style="5" bestFit="1" customWidth="1"/>
    <col min="5" max="5" width="36.5703125" style="4" bestFit="1" customWidth="1"/>
    <col min="6" max="6" width="9.140625" style="4"/>
    <col min="7" max="7" width="11.28515625" style="4" bestFit="1" customWidth="1"/>
    <col min="8" max="9" width="9.140625" style="4"/>
    <col min="10" max="10" width="11.28515625" style="4" bestFit="1" customWidth="1"/>
    <col min="11" max="16384" width="9.140625" style="4"/>
  </cols>
  <sheetData>
    <row r="1" spans="1:7">
      <c r="A1" s="4" t="s">
        <v>120</v>
      </c>
      <c r="B1" s="4" t="s">
        <v>121</v>
      </c>
      <c r="C1" s="4" t="s">
        <v>122</v>
      </c>
      <c r="D1" s="5" t="s">
        <v>123</v>
      </c>
      <c r="E1" s="4" t="s">
        <v>124</v>
      </c>
      <c r="G1" s="6" t="s">
        <v>125</v>
      </c>
    </row>
    <row r="2" spans="1:7" ht="30.75">
      <c r="A2" s="4" t="s">
        <v>126</v>
      </c>
      <c r="B2" s="4" t="s">
        <v>127</v>
      </c>
      <c r="C2" s="4" t="s">
        <v>128</v>
      </c>
      <c r="D2" s="5" t="d">
        <v>2025-09-12</v>
      </c>
      <c r="E2" s="4" t="s">
        <v>129</v>
      </c>
      <c r="G2" s="6" t="s">
        <v>130</v>
      </c>
    </row>
    <row r="3" spans="1:7" ht="45.75">
      <c r="A3" s="4" t="s">
        <v>131</v>
      </c>
      <c r="B3" s="4" t="s">
        <v>132</v>
      </c>
      <c r="C3" s="4" t="s">
        <v>128</v>
      </c>
      <c r="D3" s="5" t="d">
        <v>2025-09-19</v>
      </c>
      <c r="E3" s="4" t="s">
        <v>133</v>
      </c>
      <c r="G3" s="6" t="s">
        <v>134</v>
      </c>
    </row>
    <row r="4" spans="1:7" ht="45.75">
      <c r="A4" s="4" t="s">
        <v>135</v>
      </c>
      <c r="B4" s="4" t="s">
        <v>132</v>
      </c>
      <c r="C4" s="4" t="s">
        <v>128</v>
      </c>
      <c r="D4" s="5" t="d">
        <v>2025-09-19</v>
      </c>
      <c r="E4" s="4" t="s">
        <v>133</v>
      </c>
      <c r="G4" s="6" t="s">
        <v>136</v>
      </c>
    </row>
    <row r="5" spans="1:7" ht="45.75">
      <c r="A5" s="4" t="s">
        <v>137</v>
      </c>
      <c r="B5" s="4" t="s">
        <v>132</v>
      </c>
      <c r="C5" s="4" t="s">
        <v>128</v>
      </c>
      <c r="D5" s="5" t="d">
        <v>2025-09-19</v>
      </c>
      <c r="E5" s="4" t="s">
        <v>133</v>
      </c>
    </row>
    <row r="6" spans="1:7" ht="45.75">
      <c r="A6" s="4" t="s">
        <v>138</v>
      </c>
      <c r="B6" s="4" t="s">
        <v>132</v>
      </c>
      <c r="C6" s="4" t="s">
        <v>128</v>
      </c>
      <c r="D6" s="5" t="d">
        <v>2025-09-19</v>
      </c>
      <c r="E6" s="4" t="s">
        <v>133</v>
      </c>
    </row>
    <row r="7" spans="1:7" ht="45.75">
      <c r="A7" s="4" t="s">
        <v>139</v>
      </c>
      <c r="B7" s="4" t="s">
        <v>132</v>
      </c>
      <c r="C7" s="4" t="s">
        <v>128</v>
      </c>
      <c r="D7" s="5" t="d">
        <v>2025-09-19</v>
      </c>
      <c r="E7" s="4" t="s">
        <v>133</v>
      </c>
    </row>
    <row r="8" spans="1:7" ht="45.75">
      <c r="A8" s="4" t="s">
        <v>140</v>
      </c>
      <c r="B8" s="4" t="s">
        <v>132</v>
      </c>
      <c r="C8" s="4" t="s">
        <v>128</v>
      </c>
      <c r="D8" s="5" t="d">
        <v>2025-09-19</v>
      </c>
      <c r="E8" s="4" t="s">
        <v>133</v>
      </c>
    </row>
    <row r="9" spans="1:7" ht="45.75">
      <c r="A9" s="4" t="s">
        <v>141</v>
      </c>
      <c r="B9" s="4" t="s">
        <v>132</v>
      </c>
      <c r="C9" s="4" t="s">
        <v>128</v>
      </c>
      <c r="D9" s="5" t="d">
        <v>2025-09-20</v>
      </c>
      <c r="E9" s="4" t="s">
        <v>133</v>
      </c>
    </row>
    <row r="10" spans="1:7" ht="45.75">
      <c r="A10" s="4" t="s">
        <v>142</v>
      </c>
      <c r="B10" s="4" t="s">
        <v>132</v>
      </c>
      <c r="C10" s="4" t="s">
        <v>128</v>
      </c>
      <c r="D10" s="5" t="d">
        <v>2025-09-20</v>
      </c>
      <c r="E10" s="4" t="s">
        <v>133</v>
      </c>
    </row>
    <row r="11" spans="1:7" ht="45.75">
      <c r="A11" s="4" t="s">
        <v>143</v>
      </c>
      <c r="B11" s="4" t="s">
        <v>132</v>
      </c>
      <c r="C11" s="4" t="s">
        <v>128</v>
      </c>
      <c r="D11" s="5" t="d">
        <v>2025-09-20</v>
      </c>
      <c r="E11" s="4" t="s">
        <v>133</v>
      </c>
    </row>
    <row r="12" spans="1:7" ht="45.75">
      <c r="A12" s="4" t="s">
        <v>144</v>
      </c>
      <c r="B12" s="4" t="s">
        <v>132</v>
      </c>
      <c r="C12" s="4" t="s">
        <v>128</v>
      </c>
      <c r="D12" s="5" t="d">
        <v>2025-09-20</v>
      </c>
      <c r="E12" s="4" t="s">
        <v>133</v>
      </c>
    </row>
    <row r="13" spans="1:7" ht="45.75">
      <c r="A13" s="4" t="s">
        <v>145</v>
      </c>
      <c r="B13" s="4" t="s">
        <v>132</v>
      </c>
      <c r="C13" s="4" t="s">
        <v>128</v>
      </c>
      <c r="D13" s="5" t="d">
        <v>2025-09-20</v>
      </c>
      <c r="E13" s="4" t="s">
        <v>133</v>
      </c>
    </row>
    <row r="14" spans="1:7" ht="45.75">
      <c r="A14" s="4" t="s">
        <v>146</v>
      </c>
      <c r="B14" s="4" t="s">
        <v>132</v>
      </c>
      <c r="C14" s="4" t="s">
        <v>128</v>
      </c>
      <c r="D14" s="5" t="d">
        <v>2025-09-20</v>
      </c>
      <c r="E14" s="4" t="s">
        <v>133</v>
      </c>
    </row>
    <row r="15" spans="1:7" ht="45.75">
      <c r="A15" s="4" t="s">
        <v>147</v>
      </c>
      <c r="B15" s="4" t="s">
        <v>132</v>
      </c>
      <c r="C15" s="4" t="s">
        <v>128</v>
      </c>
      <c r="D15" s="5" t="d">
        <v>2025-09-20</v>
      </c>
      <c r="E15" s="4" t="s">
        <v>133</v>
      </c>
    </row>
    <row r="16" spans="1:7" ht="45.75">
      <c r="A16" s="4" t="s">
        <v>148</v>
      </c>
      <c r="B16" s="4" t="s">
        <v>132</v>
      </c>
      <c r="C16" s="4" t="s">
        <v>128</v>
      </c>
      <c r="D16" s="5" t="d">
        <v>2025-09-20</v>
      </c>
      <c r="E16" s="4" t="s">
        <v>133</v>
      </c>
    </row>
    <row r="17" spans="1:5" ht="45.75">
      <c r="A17" s="4" t="s">
        <v>149</v>
      </c>
      <c r="B17" s="4" t="s">
        <v>132</v>
      </c>
      <c r="C17" s="4" t="s">
        <v>128</v>
      </c>
      <c r="D17" s="5" t="d">
        <v>2025-09-20</v>
      </c>
      <c r="E17" s="4" t="s">
        <v>133</v>
      </c>
    </row>
    <row r="18" spans="1:5" ht="45.75">
      <c r="A18" s="4" t="s">
        <v>150</v>
      </c>
      <c r="B18" s="4" t="s">
        <v>132</v>
      </c>
      <c r="C18" s="4" t="s">
        <v>128</v>
      </c>
      <c r="D18" s="5" t="d">
        <v>2025-09-20</v>
      </c>
      <c r="E18" s="4" t="s">
        <v>133</v>
      </c>
    </row>
    <row r="19" spans="1:5" ht="45.75">
      <c r="A19" s="4" t="s">
        <v>151</v>
      </c>
      <c r="B19" s="4" t="s">
        <v>132</v>
      </c>
      <c r="C19" s="4" t="s">
        <v>128</v>
      </c>
      <c r="D19" s="5" t="d">
        <v>2025-09-20</v>
      </c>
      <c r="E19" s="4" t="s">
        <v>133</v>
      </c>
    </row>
    <row r="20" spans="1:5" ht="45.75">
      <c r="A20" s="4" t="s">
        <v>152</v>
      </c>
      <c r="B20" s="4" t="s">
        <v>132</v>
      </c>
      <c r="C20" s="4" t="s">
        <v>128</v>
      </c>
      <c r="D20" s="5" t="d">
        <v>2025-09-20</v>
      </c>
      <c r="E20" s="4" t="s">
        <v>133</v>
      </c>
    </row>
    <row r="21" spans="1:5" ht="45.75">
      <c r="A21" s="4" t="s">
        <v>153</v>
      </c>
      <c r="B21" s="4" t="s">
        <v>132</v>
      </c>
      <c r="C21" s="4" t="s">
        <v>128</v>
      </c>
      <c r="D21" s="5" t="d">
        <v>2025-09-20</v>
      </c>
      <c r="E21" s="4" t="s">
        <v>133</v>
      </c>
    </row>
    <row r="22" spans="1:5" ht="45.75">
      <c r="A22" s="4" t="s">
        <v>154</v>
      </c>
      <c r="B22" s="4" t="s">
        <v>132</v>
      </c>
      <c r="C22" s="4" t="s">
        <v>128</v>
      </c>
      <c r="D22" s="5" t="d">
        <v>2025-09-20</v>
      </c>
      <c r="E22" s="4" t="s">
        <v>133</v>
      </c>
    </row>
    <row r="23" spans="1:5" ht="45.75">
      <c r="A23" s="4" t="s">
        <v>155</v>
      </c>
      <c r="B23" s="4" t="s">
        <v>132</v>
      </c>
      <c r="C23" s="4" t="s">
        <v>128</v>
      </c>
      <c r="D23" s="5" t="d">
        <v>2025-09-20</v>
      </c>
      <c r="E23" s="4" t="s">
        <v>133</v>
      </c>
    </row>
    <row r="24" spans="1:5" ht="45.75">
      <c r="A24" s="4" t="s">
        <v>156</v>
      </c>
      <c r="B24" s="4" t="s">
        <v>132</v>
      </c>
      <c r="C24" s="4" t="s">
        <v>128</v>
      </c>
      <c r="D24" s="5" t="d">
        <v>2025-09-20</v>
      </c>
      <c r="E24" s="4" t="s">
        <v>133</v>
      </c>
    </row>
    <row r="25" spans="1:5" ht="45.75">
      <c r="A25" s="4" t="s">
        <v>157</v>
      </c>
      <c r="B25" s="4" t="s">
        <v>132</v>
      </c>
      <c r="C25" s="4" t="s">
        <v>128</v>
      </c>
      <c r="D25" s="5" t="d">
        <v>2025-09-20</v>
      </c>
      <c r="E25" s="4" t="s">
        <v>133</v>
      </c>
    </row>
    <row r="26" spans="1:5" ht="45.75">
      <c r="A26" s="4" t="s">
        <v>158</v>
      </c>
      <c r="B26" s="4" t="s">
        <v>132</v>
      </c>
      <c r="C26" s="4" t="s">
        <v>128</v>
      </c>
      <c r="D26" s="5" t="d">
        <v>2025-09-20</v>
      </c>
      <c r="E26" s="4" t="s">
        <v>133</v>
      </c>
    </row>
    <row r="27" spans="1:5" ht="45.75">
      <c r="A27" s="4" t="s">
        <v>159</v>
      </c>
      <c r="B27" s="4" t="s">
        <v>132</v>
      </c>
      <c r="C27" s="4" t="s">
        <v>128</v>
      </c>
      <c r="D27" s="5" t="d">
        <v>2025-09-20</v>
      </c>
      <c r="E27" s="4" t="s">
        <v>133</v>
      </c>
    </row>
    <row r="28" spans="1:5" ht="45.75">
      <c r="A28" s="4" t="s">
        <v>160</v>
      </c>
      <c r="B28" s="4" t="s">
        <v>132</v>
      </c>
      <c r="C28" s="4" t="s">
        <v>128</v>
      </c>
      <c r="D28" s="5" t="d">
        <v>2025-09-20</v>
      </c>
      <c r="E28" s="4" t="s">
        <v>133</v>
      </c>
    </row>
    <row r="29" spans="1:5" ht="45.75">
      <c r="A29" s="4" t="s">
        <v>161</v>
      </c>
      <c r="B29" s="4" t="s">
        <v>132</v>
      </c>
      <c r="C29" s="4" t="s">
        <v>128</v>
      </c>
      <c r="D29" s="5" t="d">
        <v>2025-09-20</v>
      </c>
      <c r="E29" s="4" t="s">
        <v>133</v>
      </c>
    </row>
    <row r="30" spans="1:5" ht="45.75">
      <c r="A30" s="4" t="s">
        <v>162</v>
      </c>
      <c r="B30" s="4" t="s">
        <v>132</v>
      </c>
      <c r="C30" s="4" t="s">
        <v>128</v>
      </c>
      <c r="D30" s="5" t="d">
        <v>2025-09-20</v>
      </c>
      <c r="E30" s="4" t="s">
        <v>133</v>
      </c>
    </row>
    <row r="31" spans="1:5" ht="45.75">
      <c r="A31" s="4" t="s">
        <v>163</v>
      </c>
      <c r="B31" s="4" t="s">
        <v>132</v>
      </c>
      <c r="C31" s="4" t="s">
        <v>128</v>
      </c>
      <c r="D31" s="5" t="d">
        <v>2025-09-20</v>
      </c>
      <c r="E31" s="4" t="s">
        <v>133</v>
      </c>
    </row>
    <row r="32" spans="1:5" ht="45.75">
      <c r="A32" s="4" t="s">
        <v>164</v>
      </c>
      <c r="B32" s="4" t="s">
        <v>132</v>
      </c>
      <c r="C32" s="4" t="s">
        <v>128</v>
      </c>
      <c r="D32" s="5" t="d">
        <v>2025-09-20</v>
      </c>
      <c r="E32" s="4" t="s">
        <v>133</v>
      </c>
    </row>
    <row r="33" spans="1:5" ht="45.75">
      <c r="A33" s="4" t="s">
        <v>165</v>
      </c>
      <c r="B33" s="4" t="s">
        <v>132</v>
      </c>
      <c r="C33" s="4" t="s">
        <v>128</v>
      </c>
      <c r="D33" s="5" t="d">
        <v>2025-09-20</v>
      </c>
      <c r="E33" s="4" t="s">
        <v>133</v>
      </c>
    </row>
    <row r="34" spans="1:5" ht="45.75">
      <c r="A34" s="4" t="s">
        <v>166</v>
      </c>
      <c r="B34" s="4" t="s">
        <v>132</v>
      </c>
      <c r="C34" s="4" t="s">
        <v>128</v>
      </c>
      <c r="D34" s="5" t="d">
        <v>2025-09-20</v>
      </c>
      <c r="E34" s="4" t="s">
        <v>133</v>
      </c>
    </row>
    <row r="35" spans="1:5" ht="45.75">
      <c r="A35" s="4" t="s">
        <v>167</v>
      </c>
      <c r="B35" s="4" t="s">
        <v>132</v>
      </c>
      <c r="C35" s="4" t="s">
        <v>128</v>
      </c>
      <c r="D35" s="5" t="d">
        <v>2025-09-20</v>
      </c>
      <c r="E35" s="4" t="s">
        <v>133</v>
      </c>
    </row>
    <row r="36" spans="1:5" ht="45.75">
      <c r="A36" s="4" t="s">
        <v>168</v>
      </c>
      <c r="B36" s="4" t="s">
        <v>132</v>
      </c>
      <c r="C36" s="4" t="s">
        <v>128</v>
      </c>
      <c r="D36" s="5" t="d">
        <v>2025-09-20</v>
      </c>
      <c r="E36" s="4" t="s">
        <v>133</v>
      </c>
    </row>
    <row r="37" spans="1:5" ht="45.75">
      <c r="A37" s="4" t="s">
        <v>169</v>
      </c>
      <c r="B37" s="4" t="s">
        <v>132</v>
      </c>
      <c r="C37" s="4" t="s">
        <v>128</v>
      </c>
      <c r="D37" s="5" t="d">
        <v>2025-09-20</v>
      </c>
      <c r="E37" s="4" t="s">
        <v>133</v>
      </c>
    </row>
    <row r="38" spans="1:5" ht="45.75">
      <c r="A38" s="4" t="s">
        <v>170</v>
      </c>
      <c r="B38" s="4" t="s">
        <v>132</v>
      </c>
      <c r="C38" s="4" t="s">
        <v>128</v>
      </c>
      <c r="D38" s="5" t="d">
        <v>2025-09-20</v>
      </c>
      <c r="E38" s="4" t="s">
        <v>133</v>
      </c>
    </row>
    <row r="39" spans="1:5" ht="45.75">
      <c r="A39" s="4" t="s">
        <v>171</v>
      </c>
      <c r="B39" s="4" t="s">
        <v>132</v>
      </c>
      <c r="C39" s="4" t="s">
        <v>128</v>
      </c>
      <c r="D39" s="5" t="d">
        <v>2025-09-20</v>
      </c>
      <c r="E39" s="4" t="s">
        <v>133</v>
      </c>
    </row>
    <row r="40" spans="1:5" ht="45.75">
      <c r="A40" s="4" t="s">
        <v>172</v>
      </c>
      <c r="B40" s="4" t="s">
        <v>132</v>
      </c>
      <c r="C40" s="4" t="s">
        <v>128</v>
      </c>
      <c r="D40" s="5" t="d">
        <v>2025-09-20</v>
      </c>
      <c r="E40" s="4" t="s">
        <v>133</v>
      </c>
    </row>
    <row r="41" spans="1:5" ht="45.75">
      <c r="A41" s="4" t="s">
        <v>173</v>
      </c>
      <c r="B41" s="4" t="s">
        <v>132</v>
      </c>
      <c r="C41" s="4" t="s">
        <v>128</v>
      </c>
      <c r="D41" s="5" t="d">
        <v>2025-09-20</v>
      </c>
      <c r="E41" s="4" t="s">
        <v>133</v>
      </c>
    </row>
    <row r="42" spans="1:5" ht="45.75">
      <c r="A42" s="4" t="s">
        <v>174</v>
      </c>
      <c r="B42" s="4" t="s">
        <v>132</v>
      </c>
      <c r="C42" s="4" t="s">
        <v>128</v>
      </c>
      <c r="D42" s="5" t="d">
        <v>2025-09-20</v>
      </c>
      <c r="E42" s="4" t="s">
        <v>133</v>
      </c>
    </row>
    <row r="43" spans="1:5" ht="45.75">
      <c r="A43" s="4" t="s">
        <v>175</v>
      </c>
      <c r="B43" s="4" t="s">
        <v>132</v>
      </c>
      <c r="C43" s="4" t="s">
        <v>128</v>
      </c>
      <c r="D43" s="5" t="d">
        <v>2025-09-20</v>
      </c>
      <c r="E43" s="4" t="s">
        <v>133</v>
      </c>
    </row>
    <row r="44" spans="1:5">
      <c r="A44" s="4" t="s">
        <v>131</v>
      </c>
      <c r="B44" s="4" t="s">
        <v>176</v>
      </c>
      <c r="C44" s="5" t="s">
        <v>177</v>
      </c>
      <c r="D44" s="5" t="d">
        <v>2025-09-21</v>
      </c>
    </row>
    <row r="45" spans="1:5">
      <c r="A45" s="4" t="s">
        <v>135</v>
      </c>
      <c r="B45" s="4" t="s">
        <v>176</v>
      </c>
      <c r="C45" s="5" t="s">
        <v>177</v>
      </c>
      <c r="D45" s="5" t="d">
        <v>2025-09-21</v>
      </c>
    </row>
    <row r="46" spans="1:5">
      <c r="A46" s="4" t="s">
        <v>137</v>
      </c>
      <c r="B46" s="4" t="s">
        <v>176</v>
      </c>
      <c r="C46" s="5" t="s">
        <v>177</v>
      </c>
      <c r="D46" s="5" t="d">
        <v>2025-09-21</v>
      </c>
    </row>
    <row r="47" spans="1:5">
      <c r="A47" s="4" t="s">
        <v>138</v>
      </c>
      <c r="B47" s="4" t="s">
        <v>176</v>
      </c>
      <c r="C47" s="5" t="s">
        <v>177</v>
      </c>
      <c r="D47" s="5" t="d">
        <v>2025-09-21</v>
      </c>
    </row>
    <row r="48" spans="1:5">
      <c r="A48" s="4" t="s">
        <v>139</v>
      </c>
      <c r="B48" s="4" t="s">
        <v>176</v>
      </c>
      <c r="C48" s="5" t="s">
        <v>177</v>
      </c>
      <c r="D48" s="5" t="d">
        <v>2025-09-21</v>
      </c>
    </row>
    <row r="49" spans="1:4">
      <c r="A49" s="4" t="s">
        <v>140</v>
      </c>
      <c r="B49" s="4" t="s">
        <v>176</v>
      </c>
      <c r="C49" s="5" t="s">
        <v>177</v>
      </c>
      <c r="D49" s="5" t="d">
        <v>2025-09-21</v>
      </c>
    </row>
    <row r="50" spans="1:4">
      <c r="A50" s="4" t="s">
        <v>141</v>
      </c>
      <c r="B50" s="4" t="s">
        <v>176</v>
      </c>
      <c r="C50" s="5" t="s">
        <v>177</v>
      </c>
      <c r="D50" s="5" t="d">
        <v>2025-09-21</v>
      </c>
    </row>
    <row r="51" spans="1:4">
      <c r="A51" s="4" t="s">
        <v>142</v>
      </c>
      <c r="B51" s="4" t="s">
        <v>176</v>
      </c>
      <c r="C51" s="5" t="s">
        <v>177</v>
      </c>
      <c r="D51" s="5" t="d">
        <v>2025-09-21</v>
      </c>
    </row>
    <row r="52" spans="1:4">
      <c r="A52" s="4" t="s">
        <v>143</v>
      </c>
      <c r="B52" s="4" t="s">
        <v>176</v>
      </c>
      <c r="C52" s="5" t="s">
        <v>177</v>
      </c>
      <c r="D52" s="5" t="d">
        <v>2025-09-21</v>
      </c>
    </row>
    <row r="53" spans="1:4">
      <c r="A53" s="4" t="s">
        <v>144</v>
      </c>
      <c r="B53" s="4" t="s">
        <v>176</v>
      </c>
      <c r="C53" s="5" t="s">
        <v>177</v>
      </c>
      <c r="D53" s="5" t="d">
        <v>2025-09-21</v>
      </c>
    </row>
    <row r="54" spans="1:4">
      <c r="A54" s="4" t="s">
        <v>145</v>
      </c>
      <c r="B54" s="4" t="s">
        <v>176</v>
      </c>
      <c r="C54" s="5" t="s">
        <v>177</v>
      </c>
      <c r="D54" s="5" t="d">
        <v>2025-09-21</v>
      </c>
    </row>
    <row r="55" spans="1:4">
      <c r="A55" s="4" t="s">
        <v>146</v>
      </c>
      <c r="B55" s="4" t="s">
        <v>176</v>
      </c>
      <c r="C55" s="5" t="s">
        <v>177</v>
      </c>
      <c r="D55" s="5" t="d">
        <v>2025-09-21</v>
      </c>
    </row>
    <row r="56" spans="1:4">
      <c r="A56" s="4" t="s">
        <v>147</v>
      </c>
      <c r="B56" s="4" t="s">
        <v>176</v>
      </c>
      <c r="C56" s="5" t="s">
        <v>177</v>
      </c>
      <c r="D56" s="5" t="d">
        <v>2025-09-21</v>
      </c>
    </row>
    <row r="57" spans="1:4">
      <c r="A57" s="4" t="s">
        <v>148</v>
      </c>
      <c r="B57" s="4" t="s">
        <v>176</v>
      </c>
      <c r="C57" s="5" t="s">
        <v>177</v>
      </c>
      <c r="D57" s="5" t="d">
        <v>2025-09-21</v>
      </c>
    </row>
    <row r="58" spans="1:4">
      <c r="A58" s="4" t="s">
        <v>149</v>
      </c>
      <c r="B58" s="4" t="s">
        <v>176</v>
      </c>
      <c r="C58" s="5" t="s">
        <v>177</v>
      </c>
      <c r="D58" s="5" t="d">
        <v>2025-09-21</v>
      </c>
    </row>
    <row r="59" spans="1:4">
      <c r="A59" s="4" t="s">
        <v>150</v>
      </c>
      <c r="B59" s="4" t="s">
        <v>176</v>
      </c>
      <c r="C59" s="5" t="s">
        <v>177</v>
      </c>
      <c r="D59" s="5" t="d">
        <v>2025-09-21</v>
      </c>
    </row>
    <row r="60" spans="1:4">
      <c r="A60" s="4" t="s">
        <v>151</v>
      </c>
      <c r="B60" s="4" t="s">
        <v>176</v>
      </c>
      <c r="C60" s="5" t="s">
        <v>177</v>
      </c>
      <c r="D60" s="5" t="d">
        <v>2025-09-21</v>
      </c>
    </row>
    <row r="61" spans="1:4">
      <c r="A61" s="4" t="s">
        <v>152</v>
      </c>
      <c r="B61" s="4" t="s">
        <v>176</v>
      </c>
      <c r="C61" s="5" t="s">
        <v>177</v>
      </c>
      <c r="D61" s="5" t="d">
        <v>2025-09-21</v>
      </c>
    </row>
    <row r="62" spans="1:4">
      <c r="A62" s="4" t="s">
        <v>153</v>
      </c>
      <c r="B62" s="4" t="s">
        <v>176</v>
      </c>
      <c r="C62" s="5" t="s">
        <v>177</v>
      </c>
      <c r="D62" s="5" t="d">
        <v>2025-09-21</v>
      </c>
    </row>
    <row r="63" spans="1:4">
      <c r="A63" s="4" t="s">
        <v>154</v>
      </c>
      <c r="B63" s="4" t="s">
        <v>176</v>
      </c>
      <c r="C63" s="5" t="s">
        <v>177</v>
      </c>
      <c r="D63" s="5" t="d">
        <v>2025-09-21</v>
      </c>
    </row>
    <row r="64" spans="1:4">
      <c r="A64" s="4" t="s">
        <v>155</v>
      </c>
      <c r="B64" s="4" t="s">
        <v>176</v>
      </c>
      <c r="C64" s="5" t="s">
        <v>177</v>
      </c>
      <c r="D64" s="5" t="d">
        <v>2025-09-21</v>
      </c>
    </row>
    <row r="65" spans="1:5">
      <c r="A65" s="4" t="s">
        <v>156</v>
      </c>
      <c r="B65" s="4" t="s">
        <v>176</v>
      </c>
      <c r="C65" s="5" t="s">
        <v>177</v>
      </c>
      <c r="D65" s="5" t="d">
        <v>2025-09-21</v>
      </c>
    </row>
    <row r="66" spans="1:5">
      <c r="A66" s="4" t="s">
        <v>157</v>
      </c>
      <c r="B66" s="4" t="s">
        <v>176</v>
      </c>
      <c r="C66" s="5" t="s">
        <v>177</v>
      </c>
      <c r="D66" s="5" t="d">
        <v>2025-09-21</v>
      </c>
    </row>
    <row r="67" spans="1:5">
      <c r="A67" s="4" t="s">
        <v>158</v>
      </c>
      <c r="B67" s="4" t="s">
        <v>176</v>
      </c>
      <c r="C67" s="5" t="s">
        <v>177</v>
      </c>
      <c r="D67" s="5" t="d">
        <v>2025-09-21</v>
      </c>
    </row>
    <row r="68" spans="1:5">
      <c r="A68" s="7" t="s">
        <v>159</v>
      </c>
      <c r="B68" s="4" t="s">
        <v>176</v>
      </c>
      <c r="C68" s="5" t="s">
        <v>177</v>
      </c>
      <c r="D68" s="5" t="d">
        <v>2025-09-21</v>
      </c>
    </row>
    <row r="69" spans="1:5">
      <c r="A69" s="7" t="s">
        <v>160</v>
      </c>
      <c r="B69" s="4" t="s">
        <v>176</v>
      </c>
      <c r="C69" s="5" t="s">
        <v>177</v>
      </c>
      <c r="D69" s="5" t="d">
        <v>2025-09-21</v>
      </c>
    </row>
    <row r="70" spans="1:5">
      <c r="A70" s="7" t="s">
        <v>161</v>
      </c>
      <c r="B70" s="4" t="s">
        <v>176</v>
      </c>
      <c r="C70" s="5" t="s">
        <v>177</v>
      </c>
      <c r="D70" s="5" t="d">
        <v>2025-09-21</v>
      </c>
    </row>
    <row r="71" spans="1:5" ht="30.75">
      <c r="A71" s="4" t="s">
        <v>126</v>
      </c>
      <c r="B71" s="4" t="s">
        <v>178</v>
      </c>
      <c r="C71" s="4" t="s">
        <v>128</v>
      </c>
      <c r="D71" s="5" t="d">
        <v>2025-09-22</v>
      </c>
      <c r="E71" s="4" t="s">
        <v>179</v>
      </c>
    </row>
    <row r="72" spans="1:5" ht="30.75">
      <c r="A72" s="4" t="str">
        <f>Matriz!J8</f>
        <v>PMOTI_0210_PL_PGC Plan de Gestión de la Configuracion</v>
      </c>
      <c r="B72" s="4" t="s">
        <v>178</v>
      </c>
      <c r="C72" s="4" t="s">
        <v>180</v>
      </c>
      <c r="D72" s="5" t="d">
        <v>2025-09-22</v>
      </c>
      <c r="E72" s="4" t="s">
        <v>181</v>
      </c>
    </row>
    <row r="73" spans="1:5" ht="30.75">
      <c r="A73" s="4" t="str">
        <f>Matriz!J9</f>
        <v>PMOTI_0220_PL_PGC Plan de Gestión de Cambios</v>
      </c>
      <c r="B73" s="4" t="s">
        <v>178</v>
      </c>
      <c r="C73" s="4" t="s">
        <v>180</v>
      </c>
      <c r="D73" s="5" t="d">
        <v>2025-09-22</v>
      </c>
      <c r="E73" s="4" t="s">
        <v>181</v>
      </c>
    </row>
    <row r="74" spans="1:5" ht="30.75">
      <c r="A74" s="4" t="str">
        <f>Matriz!J10</f>
        <v>PMOTI_0230_PL_DA Declaración de Alcance</v>
      </c>
      <c r="B74" s="4" t="s">
        <v>178</v>
      </c>
      <c r="C74" s="4" t="s">
        <v>180</v>
      </c>
      <c r="D74" s="5" t="d">
        <v>2025-09-22</v>
      </c>
      <c r="E74" s="4" t="s">
        <v>181</v>
      </c>
    </row>
    <row r="75" spans="1:5" ht="30.75">
      <c r="A75" s="4" t="str">
        <f>Matriz!J11</f>
        <v>PMOTI_0240_PL_DR Documentación de Requisitos</v>
      </c>
      <c r="B75" s="4" t="s">
        <v>178</v>
      </c>
      <c r="C75" s="4" t="s">
        <v>180</v>
      </c>
      <c r="D75" s="5" t="d">
        <v>2025-09-22</v>
      </c>
      <c r="E75" s="4" t="s">
        <v>181</v>
      </c>
    </row>
    <row r="76" spans="1:5" ht="30.75">
      <c r="A76" s="4" t="str">
        <f>Matriz!J12</f>
        <v>PMOTI_0250_PL_PGR Plan de Gestión de Requisitos</v>
      </c>
      <c r="B76" s="4" t="s">
        <v>178</v>
      </c>
      <c r="C76" s="4" t="s">
        <v>180</v>
      </c>
      <c r="D76" s="5" t="d">
        <v>2025-09-22</v>
      </c>
      <c r="E76" s="4" t="s">
        <v>181</v>
      </c>
    </row>
    <row r="77" spans="1:5" ht="30.75">
      <c r="A77" s="4" t="str">
        <f>Matriz!J13</f>
        <v>PMOTI_0260_PL_MTR Matriz de Trazabilidad de Requisitos</v>
      </c>
      <c r="B77" s="4" t="s">
        <v>178</v>
      </c>
      <c r="C77" s="4" t="s">
        <v>180</v>
      </c>
      <c r="D77" s="5" t="d">
        <v>2025-09-22</v>
      </c>
      <c r="E77" s="4" t="s">
        <v>181</v>
      </c>
    </row>
    <row r="78" spans="1:5" ht="30.75">
      <c r="A78" s="4" t="str">
        <f>Matriz!J14</f>
        <v>PMOTI_0270_PL_PGP Plan de Gestión de Proyecto</v>
      </c>
      <c r="B78" s="4" t="s">
        <v>178</v>
      </c>
      <c r="C78" s="4" t="s">
        <v>180</v>
      </c>
      <c r="D78" s="5" t="d">
        <v>2025-09-22</v>
      </c>
      <c r="E78" s="4" t="s">
        <v>181</v>
      </c>
    </row>
    <row r="79" spans="1:5" ht="30.75">
      <c r="A79" s="4" t="str">
        <f>Matriz!J15</f>
        <v>PMOTI_0280_PL_PGA Plan de Gestión de Alcance</v>
      </c>
      <c r="B79" s="4" t="s">
        <v>178</v>
      </c>
      <c r="C79" s="4" t="s">
        <v>180</v>
      </c>
      <c r="D79" s="5" t="d">
        <v>2025-09-22</v>
      </c>
      <c r="E79" s="4" t="s">
        <v>181</v>
      </c>
    </row>
    <row r="80" spans="1:5" ht="30.75">
      <c r="A80" s="4" t="str">
        <f>Matriz!J16</f>
        <v>PMOTI_0290_PL_EDT EDT</v>
      </c>
      <c r="B80" s="4" t="s">
        <v>178</v>
      </c>
      <c r="C80" s="4" t="s">
        <v>180</v>
      </c>
      <c r="D80" s="5" t="d">
        <v>2025-09-22</v>
      </c>
      <c r="E80" s="4" t="s">
        <v>181</v>
      </c>
    </row>
    <row r="81" spans="1:5" ht="30.75">
      <c r="A81" s="4" t="str">
        <f>Matriz!J17</f>
        <v>PMOTI_02100_PL_DEDT Diccionario EDT (simplificado)</v>
      </c>
      <c r="B81" s="4" t="s">
        <v>178</v>
      </c>
      <c r="C81" s="4" t="s">
        <v>180</v>
      </c>
      <c r="D81" s="5" t="d">
        <v>2025-09-22</v>
      </c>
      <c r="E81" s="4" t="s">
        <v>181</v>
      </c>
    </row>
    <row r="82" spans="1:5" ht="30.75">
      <c r="A82" s="4" t="str">
        <f>Matriz!J18</f>
        <v>PMOTI_02110_PL_DR Diagrama de Red</v>
      </c>
      <c r="B82" s="4" t="s">
        <v>178</v>
      </c>
      <c r="C82" s="4" t="s">
        <v>180</v>
      </c>
      <c r="D82" s="5" t="d">
        <v>2025-09-22</v>
      </c>
      <c r="E82" s="4" t="s">
        <v>181</v>
      </c>
    </row>
    <row r="83" spans="1:5" ht="30.75">
      <c r="A83" s="4" t="str">
        <f>Matriz!J19</f>
        <v>PMOTI_02120_PL_ER Estimación de Recursos</v>
      </c>
      <c r="B83" s="4" t="s">
        <v>178</v>
      </c>
      <c r="C83" s="4" t="s">
        <v>180</v>
      </c>
      <c r="D83" s="5" t="d">
        <v>2025-09-22</v>
      </c>
      <c r="E83" s="4" t="s">
        <v>181</v>
      </c>
    </row>
    <row r="84" spans="1:5" ht="30.75">
      <c r="A84" s="4" t="str">
        <f>Matriz!J20</f>
        <v>PMOTI_02130_PL_CP Cronograma del Proyecto</v>
      </c>
      <c r="B84" s="4" t="s">
        <v>178</v>
      </c>
      <c r="C84" s="4" t="s">
        <v>180</v>
      </c>
      <c r="D84" s="5" t="d">
        <v>2025-09-22</v>
      </c>
      <c r="E84" s="4" t="s">
        <v>181</v>
      </c>
    </row>
    <row r="85" spans="1:5" ht="30.75">
      <c r="A85" s="4" t="str">
        <f>Matriz!J21</f>
        <v>PMOTI_02140_PL_CP Costos del Proyecto</v>
      </c>
      <c r="B85" s="4" t="s">
        <v>178</v>
      </c>
      <c r="C85" s="4" t="s">
        <v>180</v>
      </c>
      <c r="D85" s="5" t="d">
        <v>2025-09-22</v>
      </c>
      <c r="E85" s="4" t="s">
        <v>181</v>
      </c>
    </row>
    <row r="86" spans="1:5" ht="30.75">
      <c r="A86" s="4" t="str">
        <f>Matriz!J22</f>
        <v>PMOTI_02150_PL_PP Presupuesto del Proyecto</v>
      </c>
      <c r="B86" s="4" t="s">
        <v>178</v>
      </c>
      <c r="C86" s="4" t="s">
        <v>180</v>
      </c>
      <c r="D86" s="5" t="d">
        <v>2025-09-22</v>
      </c>
      <c r="E86" s="4" t="s">
        <v>181</v>
      </c>
    </row>
    <row r="87" spans="1:5" ht="30.75">
      <c r="A87" s="4" t="str">
        <f>Matriz!J23</f>
        <v>PMOTI_02160_PL_JEP Junta de Entregables de Planeación</v>
      </c>
      <c r="B87" s="4" t="s">
        <v>178</v>
      </c>
      <c r="C87" s="4" t="s">
        <v>180</v>
      </c>
      <c r="D87" s="5" t="d">
        <v>2025-09-22</v>
      </c>
      <c r="E87" s="4" t="s">
        <v>181</v>
      </c>
    </row>
    <row r="88" spans="1:5" ht="30.75">
      <c r="A88" s="4" t="str">
        <f>Matriz!J24</f>
        <v>PMOTI_02170_PL_ID Informe de Desempeño Nº</v>
      </c>
      <c r="B88" s="4" t="s">
        <v>178</v>
      </c>
      <c r="C88" s="4" t="s">
        <v>180</v>
      </c>
      <c r="D88" s="5" t="d">
        <v>2025-09-22</v>
      </c>
      <c r="E88" s="4" t="s">
        <v>181</v>
      </c>
    </row>
    <row r="89" spans="1:5" ht="30.75">
      <c r="A89" s="4" t="str">
        <f>Matriz!J25</f>
        <v>PMOTI_02180_PL_SC Solicitud de Cambio Nº</v>
      </c>
      <c r="B89" s="4" t="s">
        <v>178</v>
      </c>
      <c r="C89" s="4" t="s">
        <v>180</v>
      </c>
      <c r="D89" s="5" t="d">
        <v>2025-09-22</v>
      </c>
      <c r="E89" s="4" t="s">
        <v>181</v>
      </c>
    </row>
    <row r="90" spans="1:5" ht="30.75">
      <c r="A90" s="7" t="str">
        <f>Matriz!J26</f>
        <v>PMOTI_02190_PL_RCT Reunion de Control de Trabajo Nº</v>
      </c>
      <c r="B90" s="4" t="s">
        <v>178</v>
      </c>
      <c r="C90" s="4" t="s">
        <v>180</v>
      </c>
      <c r="D90" s="5" t="d">
        <v>2025-09-22</v>
      </c>
      <c r="E90" s="4" t="s">
        <v>181</v>
      </c>
    </row>
    <row r="91" spans="1:5" ht="30.75">
      <c r="A91" s="7" t="str">
        <f>Matriz!J27</f>
        <v>PMOTI_02200_PL_RC Reunion de Control Nº</v>
      </c>
      <c r="B91" s="4" t="s">
        <v>178</v>
      </c>
      <c r="C91" s="4" t="s">
        <v>180</v>
      </c>
      <c r="D91" s="5" t="d">
        <v>2025-09-22</v>
      </c>
      <c r="E91" s="4" t="s">
        <v>181</v>
      </c>
    </row>
    <row r="92" spans="1:5" ht="30.75">
      <c r="A92" s="7" t="str">
        <f>Matriz!J28</f>
        <v>PMOTI_02210_PL_ACFP Acta de Cierre de la Fase de Planeación</v>
      </c>
      <c r="B92" s="4" t="s">
        <v>178</v>
      </c>
      <c r="C92" s="4" t="s">
        <v>180</v>
      </c>
      <c r="D92" s="5" t="d">
        <v>2025-09-22</v>
      </c>
      <c r="E92" s="4" t="s">
        <v>181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29A51BA609764880BB0FC0708A5BFF" ma:contentTypeVersion="11" ma:contentTypeDescription="Crear nuevo documento." ma:contentTypeScope="" ma:versionID="d24585524caef3077bb1a735000ceb9c">
  <xsd:schema xmlns:xsd="http://www.w3.org/2001/XMLSchema" xmlns:xs="http://www.w3.org/2001/XMLSchema" xmlns:p="http://schemas.microsoft.com/office/2006/metadata/properties" xmlns:ns2="75e38577-c75d-405b-8341-6ee002fd10f3" xmlns:ns3="2236d9cd-653c-46e7-b11b-38e0318339ba" targetNamespace="http://schemas.microsoft.com/office/2006/metadata/properties" ma:root="true" ma:fieldsID="433cf1c4277d89ae24acd1dc7b7b2689" ns2:_="" ns3:_="">
    <xsd:import namespace="75e38577-c75d-405b-8341-6ee002fd10f3"/>
    <xsd:import namespace="2236d9cd-653c-46e7-b11b-38e0318339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38577-c75d-405b-8341-6ee002fd10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b61bc0c-9156-412f-b605-57ff87b11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6d9cd-653c-46e7-b11b-38e0318339b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2e8ca2-ee16-4fec-9553-7f7f3c70e82c}" ma:internalName="TaxCatchAll" ma:showField="CatchAllData" ma:web="2236d9cd-653c-46e7-b11b-38e0318339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e38577-c75d-405b-8341-6ee002fd10f3">
      <Terms xmlns="http://schemas.microsoft.com/office/infopath/2007/PartnerControls"/>
    </lcf76f155ced4ddcb4097134ff3c332f>
    <TaxCatchAll xmlns="2236d9cd-653c-46e7-b11b-38e0318339b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22EA0-263F-40C8-A9D7-8A0C55C439A6}"/>
</file>

<file path=customXml/itemProps2.xml><?xml version="1.0" encoding="utf-8"?>
<ds:datastoreItem xmlns:ds="http://schemas.openxmlformats.org/officeDocument/2006/customXml" ds:itemID="{E5790C50-B255-4C68-A73F-C01FCF8B5723}"/>
</file>

<file path=customXml/itemProps3.xml><?xml version="1.0" encoding="utf-8"?>
<ds:datastoreItem xmlns:ds="http://schemas.openxmlformats.org/officeDocument/2006/customXml" ds:itemID="{79EA63CB-4BF1-40E4-B05E-58A0F8F1CA2D}"/>
</file>

<file path=docProps/app.xml><?xml version="1.0" encoding="utf-8"?>
<Properties xmlns="http://purl.oclc.org/ooxml/officeDocument/extendedProperties" xmlns:vt="http://purl.oclc.org/ooxml/officeDocument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Alejandro Morales Quiroz</dc:creator>
  <cp:keywords/>
  <dc:description/>
  <cp:lastModifiedBy>Daniel Alejandro Morales Quiroz</cp:lastModifiedBy>
  <cp:revision/>
  <dcterms:created xsi:type="dcterms:W3CDTF">2025-09-08T21:24:50Z</dcterms:created>
  <dcterms:modified xsi:type="dcterms:W3CDTF">2025-11-13T00:54:17Z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0x010100A529A51BA609764880BB0FC0708A5BFF</vt:lpwstr>
  </property>
  <property fmtid="{D5CDD505-2E9C-101B-9397-08002B2CF9AE}" pid="3" name="MediaServiceImageTags">
    <vt:lpwstr/>
  </property>
</Properties>
</file>