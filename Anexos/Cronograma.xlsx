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uaki\Documents\"/>
    </mc:Choice>
  </mc:AlternateContent>
  <xr:revisionPtr revIDLastSave="21" documentId="13_ncr:1_{B69E9E32-FD05-47FB-8740-0E83748DA9D7}" xr6:coauthVersionLast="47" xr6:coauthVersionMax="47" xr10:uidLastSave="{7BD9D9C1-D75A-4580-B025-96E9876A1CE6}"/>
  <bookViews>
    <workbookView xWindow="-108" yWindow="-108" windowWidth="23256" windowHeight="12456" xr2:uid="{F48163C3-304B-464E-AA07-A9F895B88D98}"/>
  </bookViews>
  <sheets>
    <sheet name="Cronograma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70" i="1" l="1"/>
  <c r="Q570" i="1"/>
  <c r="B558" i="1"/>
  <c r="F557" i="1"/>
  <c r="B552" i="1"/>
  <c r="F552" i="1" s="1"/>
  <c r="F551" i="1"/>
  <c r="B546" i="1"/>
  <c r="F546" i="1" s="1"/>
  <c r="F545" i="1"/>
  <c r="B545" i="1"/>
  <c r="A545" i="1"/>
  <c r="F544" i="1"/>
  <c r="F540" i="1"/>
  <c r="B540" i="1"/>
  <c r="B541" i="1" s="1"/>
  <c r="A540" i="1"/>
  <c r="B539" i="1"/>
  <c r="F539" i="1" s="1"/>
  <c r="F538" i="1"/>
  <c r="B535" i="1"/>
  <c r="F535" i="1" s="1"/>
  <c r="F534" i="1"/>
  <c r="B531" i="1"/>
  <c r="A531" i="1" s="1"/>
  <c r="F530" i="1"/>
  <c r="B527" i="1"/>
  <c r="F525" i="1"/>
  <c r="B525" i="1"/>
  <c r="B526" i="1" s="1"/>
  <c r="F526" i="1" s="1"/>
  <c r="A525" i="1"/>
  <c r="F524" i="1"/>
  <c r="A524" i="1"/>
  <c r="F523" i="1"/>
  <c r="A523" i="1"/>
  <c r="F522" i="1"/>
  <c r="B518" i="1"/>
  <c r="A518" i="1"/>
  <c r="F517" i="1"/>
  <c r="B517" i="1"/>
  <c r="A517" i="1"/>
  <c r="F516" i="1"/>
  <c r="B512" i="1"/>
  <c r="A512" i="1" s="1"/>
  <c r="F511" i="1"/>
  <c r="B511" i="1"/>
  <c r="A511" i="1"/>
  <c r="F510" i="1"/>
  <c r="F507" i="1"/>
  <c r="B507" i="1"/>
  <c r="B508" i="1" s="1"/>
  <c r="A507" i="1"/>
  <c r="B506" i="1"/>
  <c r="F506" i="1" s="1"/>
  <c r="F505" i="1"/>
  <c r="B505" i="1"/>
  <c r="A505" i="1"/>
  <c r="F504" i="1"/>
  <c r="F503" i="1"/>
  <c r="F502" i="1"/>
  <c r="B492" i="1"/>
  <c r="F491" i="1"/>
  <c r="B491" i="1"/>
  <c r="A491" i="1"/>
  <c r="F490" i="1"/>
  <c r="B487" i="1"/>
  <c r="F486" i="1"/>
  <c r="B486" i="1"/>
  <c r="A486" i="1"/>
  <c r="F485" i="1"/>
  <c r="B483" i="1"/>
  <c r="A483" i="1"/>
  <c r="F482" i="1"/>
  <c r="B482" i="1"/>
  <c r="A482" i="1"/>
  <c r="F481" i="1"/>
  <c r="B479" i="1"/>
  <c r="F478" i="1"/>
  <c r="B478" i="1"/>
  <c r="A478" i="1"/>
  <c r="F477" i="1"/>
  <c r="B473" i="1"/>
  <c r="F473" i="1" s="1"/>
  <c r="F472" i="1"/>
  <c r="B467" i="1"/>
  <c r="F466" i="1"/>
  <c r="F465" i="1"/>
  <c r="B461" i="1"/>
  <c r="A461" i="1"/>
  <c r="F460" i="1"/>
  <c r="B455" i="1"/>
  <c r="F454" i="1"/>
  <c r="F450" i="1"/>
  <c r="B450" i="1"/>
  <c r="B451" i="1" s="1"/>
  <c r="A450" i="1"/>
  <c r="B449" i="1"/>
  <c r="F449" i="1" s="1"/>
  <c r="F448" i="1"/>
  <c r="B443" i="1"/>
  <c r="A443" i="1"/>
  <c r="F442" i="1"/>
  <c r="B437" i="1"/>
  <c r="F436" i="1"/>
  <c r="B433" i="1"/>
  <c r="F432" i="1"/>
  <c r="B432" i="1"/>
  <c r="A432" i="1"/>
  <c r="B431" i="1"/>
  <c r="F430" i="1"/>
  <c r="B425" i="1"/>
  <c r="A425" i="1"/>
  <c r="F424" i="1"/>
  <c r="A422" i="1"/>
  <c r="F421" i="1"/>
  <c r="B421" i="1"/>
  <c r="B422" i="1" s="1"/>
  <c r="B423" i="1" s="1"/>
  <c r="A421" i="1"/>
  <c r="F420" i="1"/>
  <c r="B417" i="1"/>
  <c r="F416" i="1"/>
  <c r="B416" i="1"/>
  <c r="A416" i="1"/>
  <c r="F415" i="1"/>
  <c r="B413" i="1"/>
  <c r="F412" i="1"/>
  <c r="B412" i="1"/>
  <c r="A412" i="1"/>
  <c r="F411" i="1"/>
  <c r="B410" i="1"/>
  <c r="F410" i="1" s="1"/>
  <c r="F409" i="1"/>
  <c r="B408" i="1"/>
  <c r="F407" i="1"/>
  <c r="B402" i="1"/>
  <c r="F401" i="1"/>
  <c r="F397" i="1"/>
  <c r="B397" i="1"/>
  <c r="B398" i="1" s="1"/>
  <c r="A397" i="1"/>
  <c r="F396" i="1"/>
  <c r="F393" i="1"/>
  <c r="B393" i="1"/>
  <c r="B394" i="1" s="1"/>
  <c r="A393" i="1"/>
  <c r="B392" i="1"/>
  <c r="F392" i="1" s="1"/>
  <c r="A392" i="1"/>
  <c r="F391" i="1"/>
  <c r="B386" i="1"/>
  <c r="B387" i="1" s="1"/>
  <c r="B385" i="1"/>
  <c r="F385" i="1" s="1"/>
  <c r="A385" i="1"/>
  <c r="F384" i="1"/>
  <c r="B381" i="1"/>
  <c r="F379" i="1"/>
  <c r="B379" i="1"/>
  <c r="B380" i="1" s="1"/>
  <c r="A379" i="1"/>
  <c r="F378" i="1"/>
  <c r="F375" i="1"/>
  <c r="B375" i="1"/>
  <c r="B376" i="1" s="1"/>
  <c r="A375" i="1"/>
  <c r="B374" i="1"/>
  <c r="F374" i="1" s="1"/>
  <c r="A374" i="1"/>
  <c r="F373" i="1"/>
  <c r="F370" i="1"/>
  <c r="B370" i="1"/>
  <c r="B371" i="1" s="1"/>
  <c r="F369" i="1"/>
  <c r="B369" i="1"/>
  <c r="A369" i="1" s="1"/>
  <c r="F368" i="1"/>
  <c r="B364" i="1"/>
  <c r="B363" i="1"/>
  <c r="B362" i="1"/>
  <c r="F362" i="1" s="1"/>
  <c r="F361" i="1"/>
  <c r="F357" i="1"/>
  <c r="B357" i="1"/>
  <c r="B358" i="1" s="1"/>
  <c r="B356" i="1"/>
  <c r="F356" i="1" s="1"/>
  <c r="A356" i="1"/>
  <c r="F355" i="1"/>
  <c r="B350" i="1"/>
  <c r="A350" i="1"/>
  <c r="B349" i="1"/>
  <c r="F349" i="1" s="1"/>
  <c r="A349" i="1"/>
  <c r="F348" i="1"/>
  <c r="F347" i="1"/>
  <c r="B343" i="1"/>
  <c r="F343" i="1" s="1"/>
  <c r="B342" i="1"/>
  <c r="F342" i="1" s="1"/>
  <c r="F341" i="1"/>
  <c r="B337" i="1"/>
  <c r="B338" i="1" s="1"/>
  <c r="B339" i="1" s="1"/>
  <c r="B336" i="1"/>
  <c r="F336" i="1" s="1"/>
  <c r="A336" i="1"/>
  <c r="F335" i="1"/>
  <c r="F334" i="1"/>
  <c r="F333" i="1"/>
  <c r="B330" i="1"/>
  <c r="F330" i="1" s="1"/>
  <c r="F329" i="1"/>
  <c r="F328" i="1"/>
  <c r="B328" i="1"/>
  <c r="B329" i="1" s="1"/>
  <c r="A329" i="1" s="1"/>
  <c r="A328" i="1"/>
  <c r="F327" i="1"/>
  <c r="F326" i="1"/>
  <c r="B324" i="1"/>
  <c r="B325" i="1" s="1"/>
  <c r="A325" i="1" s="1"/>
  <c r="A324" i="1"/>
  <c r="F323" i="1"/>
  <c r="B323" i="1"/>
  <c r="A323" i="1" s="1"/>
  <c r="F322" i="1"/>
  <c r="F320" i="1"/>
  <c r="B320" i="1"/>
  <c r="B321" i="1" s="1"/>
  <c r="F321" i="1" s="1"/>
  <c r="A320" i="1"/>
  <c r="A319" i="1"/>
  <c r="F318" i="1"/>
  <c r="B318" i="1"/>
  <c r="B319" i="1" s="1"/>
  <c r="F319" i="1" s="1"/>
  <c r="A318" i="1"/>
  <c r="F317" i="1"/>
  <c r="B305" i="1"/>
  <c r="F304" i="1"/>
  <c r="B302" i="1"/>
  <c r="F301" i="1"/>
  <c r="B301" i="1"/>
  <c r="A301" i="1"/>
  <c r="F300" i="1"/>
  <c r="B298" i="1"/>
  <c r="B299" i="1" s="1"/>
  <c r="F297" i="1"/>
  <c r="B297" i="1"/>
  <c r="A297" i="1"/>
  <c r="F296" i="1"/>
  <c r="F294" i="1"/>
  <c r="B294" i="1"/>
  <c r="B295" i="1" s="1"/>
  <c r="A294" i="1"/>
  <c r="B293" i="1"/>
  <c r="F293" i="1" s="1"/>
  <c r="A293" i="1"/>
  <c r="F292" i="1"/>
  <c r="F290" i="1"/>
  <c r="B290" i="1"/>
  <c r="A290" i="1" s="1"/>
  <c r="F289" i="1"/>
  <c r="B289" i="1"/>
  <c r="A289" i="1"/>
  <c r="F288" i="1"/>
  <c r="B285" i="1"/>
  <c r="B286" i="1" s="1"/>
  <c r="F284" i="1"/>
  <c r="F279" i="1"/>
  <c r="B278" i="1"/>
  <c r="B279" i="1" s="1"/>
  <c r="A279" i="1" s="1"/>
  <c r="A278" i="1"/>
  <c r="F277" i="1"/>
  <c r="F274" i="1"/>
  <c r="B274" i="1"/>
  <c r="B275" i="1" s="1"/>
  <c r="A274" i="1"/>
  <c r="F273" i="1"/>
  <c r="B270" i="1"/>
  <c r="F269" i="1"/>
  <c r="B268" i="1"/>
  <c r="A268" i="1" s="1"/>
  <c r="F267" i="1"/>
  <c r="B267" i="1"/>
  <c r="A267" i="1"/>
  <c r="B266" i="1"/>
  <c r="F266" i="1" s="1"/>
  <c r="F265" i="1"/>
  <c r="B260" i="1"/>
  <c r="F259" i="1"/>
  <c r="B258" i="1"/>
  <c r="B256" i="1"/>
  <c r="B257" i="1" s="1"/>
  <c r="A257" i="1" s="1"/>
  <c r="A256" i="1"/>
  <c r="F255" i="1"/>
  <c r="B255" i="1"/>
  <c r="A255" i="1"/>
  <c r="F254" i="1"/>
  <c r="B250" i="1"/>
  <c r="F249" i="1"/>
  <c r="B249" i="1"/>
  <c r="A249" i="1"/>
  <c r="B248" i="1"/>
  <c r="F248" i="1" s="1"/>
  <c r="F247" i="1"/>
  <c r="B242" i="1"/>
  <c r="B240" i="1"/>
  <c r="B241" i="1" s="1"/>
  <c r="A241" i="1" s="1"/>
  <c r="F239" i="1"/>
  <c r="B234" i="1"/>
  <c r="F233" i="1"/>
  <c r="B233" i="1"/>
  <c r="A233" i="1"/>
  <c r="B232" i="1"/>
  <c r="F232" i="1" s="1"/>
  <c r="F231" i="1"/>
  <c r="B226" i="1"/>
  <c r="F225" i="1"/>
  <c r="B224" i="1"/>
  <c r="B225" i="1" s="1"/>
  <c r="A225" i="1" s="1"/>
  <c r="F223" i="1"/>
  <c r="B213" i="1"/>
  <c r="A213" i="1"/>
  <c r="B212" i="1"/>
  <c r="F211" i="1"/>
  <c r="B208" i="1"/>
  <c r="A208" i="1" s="1"/>
  <c r="F207" i="1"/>
  <c r="F206" i="1"/>
  <c r="B200" i="1"/>
  <c r="F199" i="1"/>
  <c r="B199" i="1"/>
  <c r="A199" i="1"/>
  <c r="F198" i="1"/>
  <c r="F192" i="1"/>
  <c r="B192" i="1"/>
  <c r="B193" i="1" s="1"/>
  <c r="A192" i="1"/>
  <c r="F191" i="1"/>
  <c r="B191" i="1"/>
  <c r="A191" i="1"/>
  <c r="F190" i="1"/>
  <c r="B183" i="1"/>
  <c r="B184" i="1" s="1"/>
  <c r="A183" i="1"/>
  <c r="F182" i="1"/>
  <c r="F177" i="1"/>
  <c r="B177" i="1"/>
  <c r="B178" i="1" s="1"/>
  <c r="A177" i="1"/>
  <c r="B176" i="1"/>
  <c r="F176" i="1" s="1"/>
  <c r="A176" i="1"/>
  <c r="F175" i="1"/>
  <c r="B175" i="1"/>
  <c r="A175" i="1"/>
  <c r="F174" i="1"/>
  <c r="F167" i="1"/>
  <c r="B167" i="1"/>
  <c r="B168" i="1" s="1"/>
  <c r="A167" i="1"/>
  <c r="F166" i="1"/>
  <c r="B160" i="1"/>
  <c r="B159" i="1"/>
  <c r="F159" i="1" s="1"/>
  <c r="F158" i="1"/>
  <c r="F151" i="1"/>
  <c r="B151" i="1"/>
  <c r="B152" i="1" s="1"/>
  <c r="A151" i="1"/>
  <c r="F150" i="1"/>
  <c r="F149" i="1"/>
  <c r="B142" i="1"/>
  <c r="F141" i="1"/>
  <c r="B140" i="1"/>
  <c r="B138" i="1"/>
  <c r="B139" i="1" s="1"/>
  <c r="A138" i="1"/>
  <c r="B137" i="1"/>
  <c r="F137" i="1" s="1"/>
  <c r="A137" i="1"/>
  <c r="F136" i="1"/>
  <c r="B126" i="1"/>
  <c r="F125" i="1"/>
  <c r="B122" i="1"/>
  <c r="B123" i="1" s="1"/>
  <c r="A122" i="1"/>
  <c r="B121" i="1"/>
  <c r="F121" i="1" s="1"/>
  <c r="A121" i="1"/>
  <c r="F120" i="1"/>
  <c r="F115" i="1"/>
  <c r="B115" i="1"/>
  <c r="B116" i="1" s="1"/>
  <c r="A115" i="1"/>
  <c r="F114" i="1"/>
  <c r="B111" i="1"/>
  <c r="B112" i="1" s="1"/>
  <c r="B110" i="1"/>
  <c r="F110" i="1" s="1"/>
  <c r="F109" i="1"/>
  <c r="B109" i="1"/>
  <c r="A109" i="1"/>
  <c r="F108" i="1"/>
  <c r="B104" i="1"/>
  <c r="B105" i="1" s="1"/>
  <c r="A104" i="1"/>
  <c r="B103" i="1"/>
  <c r="F103" i="1" s="1"/>
  <c r="A103" i="1"/>
  <c r="F102" i="1"/>
  <c r="F97" i="1"/>
  <c r="B97" i="1"/>
  <c r="B98" i="1" s="1"/>
  <c r="A97" i="1"/>
  <c r="F96" i="1"/>
  <c r="B93" i="1"/>
  <c r="B94" i="1" s="1"/>
  <c r="B92" i="1"/>
  <c r="F92" i="1" s="1"/>
  <c r="F91" i="1"/>
  <c r="B91" i="1"/>
  <c r="A91" i="1"/>
  <c r="F90" i="1"/>
  <c r="B86" i="1"/>
  <c r="B87" i="1" s="1"/>
  <c r="A86" i="1"/>
  <c r="B85" i="1"/>
  <c r="F85" i="1" s="1"/>
  <c r="A85" i="1"/>
  <c r="F84" i="1"/>
  <c r="F78" i="1"/>
  <c r="B78" i="1"/>
  <c r="A78" i="1" s="1"/>
  <c r="F77" i="1"/>
  <c r="F76" i="1"/>
  <c r="F75" i="1"/>
  <c r="B71" i="1"/>
  <c r="A71" i="1" s="1"/>
  <c r="F70" i="1"/>
  <c r="B70" i="1"/>
  <c r="A70" i="1" s="1"/>
  <c r="F69" i="1"/>
  <c r="F68" i="1"/>
  <c r="B64" i="1"/>
  <c r="B63" i="1"/>
  <c r="F63" i="1" s="1"/>
  <c r="A63" i="1"/>
  <c r="F62" i="1"/>
  <c r="B57" i="1"/>
  <c r="B58" i="1" s="1"/>
  <c r="A57" i="1"/>
  <c r="F56" i="1"/>
  <c r="F55" i="1"/>
  <c r="A55" i="1"/>
  <c r="F54" i="1"/>
  <c r="A54" i="1"/>
  <c r="F53" i="1"/>
  <c r="A53" i="1"/>
  <c r="F52" i="1"/>
  <c r="A52" i="1"/>
  <c r="F51" i="1"/>
  <c r="A51" i="1"/>
  <c r="F50" i="1"/>
  <c r="A50" i="1"/>
  <c r="F49" i="1"/>
  <c r="F48" i="1"/>
  <c r="F47" i="1"/>
  <c r="A47" i="1"/>
  <c r="F46" i="1"/>
  <c r="A46" i="1"/>
  <c r="F45" i="1"/>
  <c r="A45" i="1"/>
  <c r="F44" i="1"/>
  <c r="A44" i="1"/>
  <c r="F43" i="1"/>
  <c r="A43" i="1"/>
  <c r="F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F34" i="1"/>
  <c r="A34" i="1"/>
  <c r="F33" i="1"/>
  <c r="A33" i="1"/>
  <c r="F32" i="1"/>
  <c r="A32" i="1"/>
  <c r="F31" i="1"/>
  <c r="A31" i="1"/>
  <c r="F30" i="1"/>
  <c r="A30" i="1"/>
  <c r="F29" i="1"/>
  <c r="A29" i="1"/>
  <c r="F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F18" i="1"/>
  <c r="A18" i="1"/>
  <c r="F17" i="1"/>
  <c r="A17" i="1"/>
  <c r="F16" i="1"/>
  <c r="A16" i="1"/>
  <c r="F15" i="1"/>
  <c r="A15" i="1"/>
  <c r="F14" i="1"/>
  <c r="A14" i="1"/>
  <c r="F13" i="1"/>
  <c r="A13" i="1"/>
  <c r="F12" i="1"/>
  <c r="A12" i="1"/>
  <c r="F11" i="1"/>
  <c r="A11" i="1"/>
  <c r="F10" i="1"/>
  <c r="A10" i="1"/>
  <c r="F9" i="1"/>
  <c r="A9" i="1"/>
  <c r="F8" i="1"/>
  <c r="A8" i="1"/>
  <c r="F7" i="1"/>
  <c r="A7" i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H6" i="1"/>
  <c r="F6" i="1"/>
  <c r="A6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K19" i="1" s="1"/>
  <c r="I5" i="1"/>
  <c r="H19" i="1" s="1"/>
  <c r="I19" i="1" s="1"/>
  <c r="I20" i="1" s="1"/>
  <c r="I21" i="1" s="1"/>
  <c r="I22" i="1" s="1"/>
  <c r="I23" i="1" s="1"/>
  <c r="I24" i="1" s="1"/>
  <c r="I25" i="1" s="1"/>
  <c r="I26" i="1" s="1"/>
  <c r="I27" i="1" s="1"/>
  <c r="H28" i="1" s="1"/>
  <c r="I28" i="1" s="1"/>
  <c r="I29" i="1" s="1"/>
  <c r="I30" i="1" s="1"/>
  <c r="I31" i="1" s="1"/>
  <c r="I32" i="1" s="1"/>
  <c r="I33" i="1" s="1"/>
  <c r="I34" i="1" s="1"/>
  <c r="H35" i="1" s="1"/>
  <c r="I35" i="1" s="1"/>
  <c r="I36" i="1" s="1"/>
  <c r="I37" i="1" s="1"/>
  <c r="I38" i="1" s="1"/>
  <c r="I39" i="1" s="1"/>
  <c r="I40" i="1" s="1"/>
  <c r="I41" i="1" s="1"/>
  <c r="H42" i="1" s="1"/>
  <c r="I42" i="1" s="1"/>
  <c r="F5" i="1"/>
  <c r="I43" i="1" l="1"/>
  <c r="H43" i="1"/>
  <c r="L19" i="1"/>
  <c r="L20" i="1" s="1"/>
  <c r="L21" i="1" s="1"/>
  <c r="L22" i="1" s="1"/>
  <c r="L23" i="1" s="1"/>
  <c r="L24" i="1" s="1"/>
  <c r="L25" i="1" s="1"/>
  <c r="L26" i="1" s="1"/>
  <c r="L27" i="1" s="1"/>
  <c r="K28" i="1" s="1"/>
  <c r="K20" i="1"/>
  <c r="K21" i="1" s="1"/>
  <c r="K22" i="1" s="1"/>
  <c r="K23" i="1" s="1"/>
  <c r="K24" i="1" s="1"/>
  <c r="K25" i="1" s="1"/>
  <c r="K26" i="1" s="1"/>
  <c r="K27" i="1" s="1"/>
  <c r="A58" i="1"/>
  <c r="F58" i="1"/>
  <c r="B59" i="1"/>
  <c r="F71" i="1"/>
  <c r="B143" i="1"/>
  <c r="F142" i="1"/>
  <c r="A142" i="1"/>
  <c r="B65" i="1"/>
  <c r="A64" i="1"/>
  <c r="F87" i="1"/>
  <c r="A87" i="1"/>
  <c r="F57" i="1"/>
  <c r="F64" i="1"/>
  <c r="B194" i="1"/>
  <c r="A193" i="1"/>
  <c r="F193" i="1"/>
  <c r="I6" i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F94" i="1"/>
  <c r="A94" i="1"/>
  <c r="B95" i="1"/>
  <c r="B161" i="1"/>
  <c r="F160" i="1"/>
  <c r="A160" i="1"/>
  <c r="B72" i="1"/>
  <c r="B88" i="1"/>
  <c r="F105" i="1"/>
  <c r="A105" i="1"/>
  <c r="F123" i="1"/>
  <c r="A123" i="1"/>
  <c r="F260" i="1"/>
  <c r="A260" i="1"/>
  <c r="B261" i="1"/>
  <c r="F112" i="1"/>
  <c r="A112" i="1"/>
  <c r="B113" i="1"/>
  <c r="A184" i="1"/>
  <c r="F184" i="1"/>
  <c r="B185" i="1"/>
  <c r="B106" i="1"/>
  <c r="B124" i="1"/>
  <c r="F152" i="1"/>
  <c r="A152" i="1"/>
  <c r="B153" i="1"/>
  <c r="F98" i="1"/>
  <c r="A98" i="1"/>
  <c r="B99" i="1"/>
  <c r="F116" i="1"/>
  <c r="A116" i="1"/>
  <c r="B117" i="1"/>
  <c r="F139" i="1"/>
  <c r="A139" i="1"/>
  <c r="B127" i="1"/>
  <c r="F126" i="1"/>
  <c r="A126" i="1"/>
  <c r="F168" i="1"/>
  <c r="A168" i="1"/>
  <c r="B169" i="1"/>
  <c r="F178" i="1"/>
  <c r="A178" i="1"/>
  <c r="B179" i="1"/>
  <c r="F140" i="1"/>
  <c r="A140" i="1"/>
  <c r="A93" i="1"/>
  <c r="A111" i="1"/>
  <c r="F242" i="1"/>
  <c r="A242" i="1"/>
  <c r="A270" i="1"/>
  <c r="B271" i="1"/>
  <c r="B340" i="1"/>
  <c r="F339" i="1"/>
  <c r="A339" i="1"/>
  <c r="F258" i="1"/>
  <c r="A258" i="1"/>
  <c r="F270" i="1"/>
  <c r="F93" i="1"/>
  <c r="F111" i="1"/>
  <c r="B243" i="1"/>
  <c r="B79" i="1"/>
  <c r="F86" i="1"/>
  <c r="F104" i="1"/>
  <c r="F122" i="1"/>
  <c r="F138" i="1"/>
  <c r="F183" i="1"/>
  <c r="F226" i="1"/>
  <c r="A226" i="1"/>
  <c r="A92" i="1"/>
  <c r="A110" i="1"/>
  <c r="A200" i="1"/>
  <c r="B201" i="1"/>
  <c r="B227" i="1"/>
  <c r="A250" i="1"/>
  <c r="B251" i="1"/>
  <c r="F200" i="1"/>
  <c r="F250" i="1"/>
  <c r="F302" i="1"/>
  <c r="A302" i="1"/>
  <c r="F212" i="1"/>
  <c r="A212" i="1"/>
  <c r="F286" i="1"/>
  <c r="A286" i="1"/>
  <c r="B287" i="1"/>
  <c r="B303" i="1"/>
  <c r="A159" i="1"/>
  <c r="B209" i="1"/>
  <c r="F208" i="1"/>
  <c r="A234" i="1"/>
  <c r="B235" i="1"/>
  <c r="B214" i="1"/>
  <c r="F213" i="1"/>
  <c r="F234" i="1"/>
  <c r="F275" i="1"/>
  <c r="A275" i="1"/>
  <c r="B276" i="1"/>
  <c r="F299" i="1"/>
  <c r="A299" i="1"/>
  <c r="F241" i="1"/>
  <c r="F268" i="1"/>
  <c r="A305" i="1"/>
  <c r="B306" i="1"/>
  <c r="F305" i="1"/>
  <c r="F257" i="1"/>
  <c r="B280" i="1"/>
  <c r="F295" i="1"/>
  <c r="A295" i="1"/>
  <c r="A285" i="1"/>
  <c r="F363" i="1"/>
  <c r="A363" i="1"/>
  <c r="A402" i="1"/>
  <c r="B403" i="1"/>
  <c r="F402" i="1"/>
  <c r="A224" i="1"/>
  <c r="A240" i="1"/>
  <c r="A298" i="1"/>
  <c r="A364" i="1"/>
  <c r="B365" i="1"/>
  <c r="F364" i="1"/>
  <c r="F376" i="1"/>
  <c r="A376" i="1"/>
  <c r="B377" i="1"/>
  <c r="F381" i="1"/>
  <c r="A381" i="1"/>
  <c r="F285" i="1"/>
  <c r="B351" i="1"/>
  <c r="F350" i="1"/>
  <c r="B382" i="1"/>
  <c r="F224" i="1"/>
  <c r="F240" i="1"/>
  <c r="F256" i="1"/>
  <c r="F278" i="1"/>
  <c r="F298" i="1"/>
  <c r="F324" i="1"/>
  <c r="A330" i="1"/>
  <c r="A337" i="1"/>
  <c r="A343" i="1"/>
  <c r="A371" i="1"/>
  <c r="B372" i="1"/>
  <c r="F338" i="1"/>
  <c r="A338" i="1"/>
  <c r="F398" i="1"/>
  <c r="A398" i="1"/>
  <c r="F413" i="1"/>
  <c r="A413" i="1"/>
  <c r="B414" i="1"/>
  <c r="B291" i="1"/>
  <c r="F337" i="1"/>
  <c r="B344" i="1"/>
  <c r="F371" i="1"/>
  <c r="F423" i="1"/>
  <c r="A423" i="1"/>
  <c r="F325" i="1"/>
  <c r="B331" i="1"/>
  <c r="B480" i="1"/>
  <c r="A479" i="1"/>
  <c r="F479" i="1"/>
  <c r="A232" i="1"/>
  <c r="A248" i="1"/>
  <c r="A266" i="1"/>
  <c r="A408" i="1"/>
  <c r="F408" i="1"/>
  <c r="F394" i="1"/>
  <c r="A394" i="1"/>
  <c r="B395" i="1"/>
  <c r="B399" i="1"/>
  <c r="A357" i="1"/>
  <c r="F380" i="1"/>
  <c r="A380" i="1"/>
  <c r="F433" i="1"/>
  <c r="A433" i="1"/>
  <c r="B434" i="1"/>
  <c r="F451" i="1"/>
  <c r="A451" i="1"/>
  <c r="B452" i="1"/>
  <c r="F358" i="1"/>
  <c r="A358" i="1"/>
  <c r="B359" i="1"/>
  <c r="F387" i="1"/>
  <c r="A387" i="1"/>
  <c r="B388" i="1"/>
  <c r="A386" i="1"/>
  <c r="B462" i="1"/>
  <c r="F461" i="1"/>
  <c r="B484" i="1"/>
  <c r="F483" i="1"/>
  <c r="F487" i="1"/>
  <c r="A487" i="1"/>
  <c r="B488" i="1"/>
  <c r="B493" i="1"/>
  <c r="A492" i="1"/>
  <c r="B528" i="1"/>
  <c r="A527" i="1"/>
  <c r="A370" i="1"/>
  <c r="F386" i="1"/>
  <c r="F492" i="1"/>
  <c r="F527" i="1"/>
  <c r="B444" i="1"/>
  <c r="F443" i="1"/>
  <c r="F508" i="1"/>
  <c r="A508" i="1"/>
  <c r="B509" i="1"/>
  <c r="F541" i="1"/>
  <c r="A541" i="1"/>
  <c r="B542" i="1"/>
  <c r="F422" i="1"/>
  <c r="A455" i="1"/>
  <c r="B456" i="1"/>
  <c r="F455" i="1"/>
  <c r="F467" i="1"/>
  <c r="A467" i="1"/>
  <c r="B468" i="1"/>
  <c r="B519" i="1"/>
  <c r="F518" i="1"/>
  <c r="A417" i="1"/>
  <c r="B418" i="1"/>
  <c r="B426" i="1"/>
  <c r="F425" i="1"/>
  <c r="A437" i="1"/>
  <c r="B438" i="1"/>
  <c r="F437" i="1"/>
  <c r="F417" i="1"/>
  <c r="A342" i="1"/>
  <c r="A362" i="1"/>
  <c r="A410" i="1"/>
  <c r="F431" i="1"/>
  <c r="A431" i="1"/>
  <c r="B559" i="1"/>
  <c r="A558" i="1"/>
  <c r="F558" i="1"/>
  <c r="B532" i="1"/>
  <c r="F531" i="1"/>
  <c r="F512" i="1"/>
  <c r="B536" i="1"/>
  <c r="B547" i="1"/>
  <c r="B474" i="1"/>
  <c r="A535" i="1"/>
  <c r="A546" i="1"/>
  <c r="B553" i="1"/>
  <c r="A449" i="1"/>
  <c r="A506" i="1"/>
  <c r="B513" i="1"/>
  <c r="A539" i="1"/>
  <c r="A473" i="1"/>
  <c r="A552" i="1"/>
  <c r="F532" i="1" l="1"/>
  <c r="A532" i="1"/>
  <c r="B533" i="1"/>
  <c r="F414" i="1"/>
  <c r="A414" i="1"/>
  <c r="F153" i="1"/>
  <c r="B154" i="1"/>
  <c r="A153" i="1"/>
  <c r="F426" i="1"/>
  <c r="A426" i="1"/>
  <c r="B427" i="1"/>
  <c r="B543" i="1"/>
  <c r="F543" i="1" s="1"/>
  <c r="F542" i="1"/>
  <c r="A542" i="1"/>
  <c r="B389" i="1"/>
  <c r="A388" i="1"/>
  <c r="F388" i="1"/>
  <c r="A303" i="1"/>
  <c r="F303" i="1"/>
  <c r="B228" i="1"/>
  <c r="F227" i="1"/>
  <c r="A227" i="1"/>
  <c r="B80" i="1"/>
  <c r="A79" i="1"/>
  <c r="F79" i="1"/>
  <c r="F251" i="1"/>
  <c r="B252" i="1"/>
  <c r="A251" i="1"/>
  <c r="F513" i="1"/>
  <c r="A513" i="1"/>
  <c r="B514" i="1"/>
  <c r="F377" i="1"/>
  <c r="A377" i="1"/>
  <c r="F559" i="1"/>
  <c r="A559" i="1"/>
  <c r="B560" i="1"/>
  <c r="F418" i="1"/>
  <c r="B419" i="1"/>
  <c r="A418" i="1"/>
  <c r="F528" i="1"/>
  <c r="A528" i="1"/>
  <c r="B529" i="1"/>
  <c r="F276" i="1"/>
  <c r="A276" i="1"/>
  <c r="A287" i="1"/>
  <c r="F287" i="1"/>
  <c r="F201" i="1"/>
  <c r="A201" i="1"/>
  <c r="B202" i="1"/>
  <c r="B244" i="1"/>
  <c r="F243" i="1"/>
  <c r="A243" i="1"/>
  <c r="A143" i="1"/>
  <c r="B144" i="1"/>
  <c r="F143" i="1"/>
  <c r="F509" i="1"/>
  <c r="A509" i="1"/>
  <c r="F493" i="1"/>
  <c r="A493" i="1"/>
  <c r="B494" i="1"/>
  <c r="B360" i="1"/>
  <c r="F359" i="1"/>
  <c r="A359" i="1"/>
  <c r="F399" i="1"/>
  <c r="A399" i="1"/>
  <c r="B400" i="1"/>
  <c r="B332" i="1"/>
  <c r="F331" i="1"/>
  <c r="A331" i="1"/>
  <c r="F365" i="1"/>
  <c r="A365" i="1"/>
  <c r="B366" i="1"/>
  <c r="B107" i="1"/>
  <c r="F106" i="1"/>
  <c r="A106" i="1"/>
  <c r="B60" i="1"/>
  <c r="F59" i="1"/>
  <c r="A59" i="1"/>
  <c r="A95" i="1"/>
  <c r="F95" i="1"/>
  <c r="F519" i="1"/>
  <c r="A519" i="1"/>
  <c r="B520" i="1"/>
  <c r="A488" i="1"/>
  <c r="B489" i="1"/>
  <c r="F489" i="1" s="1"/>
  <c r="F488" i="1"/>
  <c r="F395" i="1"/>
  <c r="A395" i="1"/>
  <c r="F280" i="1"/>
  <c r="A280" i="1"/>
  <c r="B281" i="1"/>
  <c r="B186" i="1"/>
  <c r="F185" i="1"/>
  <c r="A185" i="1"/>
  <c r="F194" i="1"/>
  <c r="B195" i="1"/>
  <c r="A194" i="1"/>
  <c r="B475" i="1"/>
  <c r="A474" i="1"/>
  <c r="F474" i="1"/>
  <c r="B469" i="1"/>
  <c r="F468" i="1"/>
  <c r="A468" i="1"/>
  <c r="A382" i="1"/>
  <c r="B383" i="1"/>
  <c r="F382" i="1"/>
  <c r="F117" i="1"/>
  <c r="B118" i="1"/>
  <c r="A117" i="1"/>
  <c r="B89" i="1"/>
  <c r="F88" i="1"/>
  <c r="A88" i="1"/>
  <c r="B262" i="1"/>
  <c r="F261" i="1"/>
  <c r="A261" i="1"/>
  <c r="B554" i="1"/>
  <c r="F553" i="1"/>
  <c r="A553" i="1"/>
  <c r="F480" i="1"/>
  <c r="A480" i="1"/>
  <c r="F124" i="1"/>
  <c r="A124" i="1"/>
  <c r="A547" i="1"/>
  <c r="B548" i="1"/>
  <c r="F547" i="1"/>
  <c r="A452" i="1"/>
  <c r="B453" i="1"/>
  <c r="F452" i="1"/>
  <c r="F372" i="1"/>
  <c r="A372" i="1"/>
  <c r="F214" i="1"/>
  <c r="A214" i="1"/>
  <c r="B215" i="1"/>
  <c r="B180" i="1"/>
  <c r="A179" i="1"/>
  <c r="F179" i="1"/>
  <c r="B73" i="1"/>
  <c r="F72" i="1"/>
  <c r="A72" i="1"/>
  <c r="F271" i="1"/>
  <c r="B272" i="1"/>
  <c r="A271" i="1"/>
  <c r="A536" i="1"/>
  <c r="B537" i="1"/>
  <c r="F536" i="1"/>
  <c r="B445" i="1"/>
  <c r="F444" i="1"/>
  <c r="A444" i="1"/>
  <c r="F351" i="1"/>
  <c r="A351" i="1"/>
  <c r="B352" i="1"/>
  <c r="F306" i="1"/>
  <c r="A306" i="1"/>
  <c r="B307" i="1"/>
  <c r="F235" i="1"/>
  <c r="B236" i="1"/>
  <c r="A235" i="1"/>
  <c r="A113" i="1"/>
  <c r="F113" i="1"/>
  <c r="K29" i="1"/>
  <c r="K30" i="1" s="1"/>
  <c r="K31" i="1" s="1"/>
  <c r="K32" i="1" s="1"/>
  <c r="K33" i="1" s="1"/>
  <c r="K34" i="1" s="1"/>
  <c r="L28" i="1"/>
  <c r="L29" i="1" s="1"/>
  <c r="L30" i="1" s="1"/>
  <c r="L31" i="1" s="1"/>
  <c r="L32" i="1" s="1"/>
  <c r="L33" i="1" s="1"/>
  <c r="L34" i="1" s="1"/>
  <c r="K35" i="1" s="1"/>
  <c r="A462" i="1"/>
  <c r="B463" i="1"/>
  <c r="F462" i="1"/>
  <c r="F291" i="1"/>
  <c r="A291" i="1"/>
  <c r="A209" i="1"/>
  <c r="F209" i="1"/>
  <c r="B210" i="1"/>
  <c r="A65" i="1"/>
  <c r="F65" i="1"/>
  <c r="B66" i="1"/>
  <c r="F484" i="1"/>
  <c r="A484" i="1"/>
  <c r="A344" i="1"/>
  <c r="B345" i="1"/>
  <c r="F344" i="1"/>
  <c r="F99" i="1"/>
  <c r="B100" i="1"/>
  <c r="A99" i="1"/>
  <c r="A127" i="1"/>
  <c r="B128" i="1"/>
  <c r="F127" i="1"/>
  <c r="F438" i="1"/>
  <c r="A438" i="1"/>
  <c r="B439" i="1"/>
  <c r="F456" i="1"/>
  <c r="A456" i="1"/>
  <c r="B457" i="1"/>
  <c r="F434" i="1"/>
  <c r="A434" i="1"/>
  <c r="B435" i="1"/>
  <c r="F403" i="1"/>
  <c r="A403" i="1"/>
  <c r="B404" i="1"/>
  <c r="F340" i="1"/>
  <c r="A340" i="1"/>
  <c r="B170" i="1"/>
  <c r="F169" i="1"/>
  <c r="A169" i="1"/>
  <c r="A161" i="1"/>
  <c r="B162" i="1"/>
  <c r="F161" i="1"/>
  <c r="I44" i="1"/>
  <c r="H44" i="1"/>
  <c r="F80" i="1" l="1"/>
  <c r="A80" i="1"/>
  <c r="B81" i="1"/>
  <c r="F427" i="1"/>
  <c r="A427" i="1"/>
  <c r="B428" i="1"/>
  <c r="B367" i="1"/>
  <c r="F366" i="1"/>
  <c r="A366" i="1"/>
  <c r="A100" i="1"/>
  <c r="B101" i="1"/>
  <c r="F100" i="1"/>
  <c r="F520" i="1"/>
  <c r="A520" i="1"/>
  <c r="B521" i="1"/>
  <c r="F162" i="1"/>
  <c r="A162" i="1"/>
  <c r="B163" i="1"/>
  <c r="F307" i="1"/>
  <c r="B308" i="1"/>
  <c r="A307" i="1"/>
  <c r="B495" i="1"/>
  <c r="F494" i="1"/>
  <c r="A494" i="1"/>
  <c r="B458" i="1"/>
  <c r="A457" i="1"/>
  <c r="F457" i="1"/>
  <c r="F272" i="1"/>
  <c r="A272" i="1"/>
  <c r="F383" i="1"/>
  <c r="A383" i="1"/>
  <c r="B561" i="1"/>
  <c r="F560" i="1"/>
  <c r="A560" i="1"/>
  <c r="F345" i="1"/>
  <c r="A345" i="1"/>
  <c r="B346" i="1"/>
  <c r="F463" i="1"/>
  <c r="A463" i="1"/>
  <c r="B464" i="1"/>
  <c r="B353" i="1"/>
  <c r="A352" i="1"/>
  <c r="F352" i="1"/>
  <c r="A453" i="1"/>
  <c r="F453" i="1"/>
  <c r="B282" i="1"/>
  <c r="F281" i="1"/>
  <c r="A281" i="1"/>
  <c r="F332" i="1"/>
  <c r="A332" i="1"/>
  <c r="B515" i="1"/>
  <c r="A514" i="1"/>
  <c r="F514" i="1"/>
  <c r="A154" i="1"/>
  <c r="B155" i="1"/>
  <c r="F154" i="1"/>
  <c r="A435" i="1"/>
  <c r="F435" i="1"/>
  <c r="B196" i="1"/>
  <c r="F195" i="1"/>
  <c r="A195" i="1"/>
  <c r="B171" i="1"/>
  <c r="A170" i="1"/>
  <c r="F170" i="1"/>
  <c r="B440" i="1"/>
  <c r="A439" i="1"/>
  <c r="F439" i="1"/>
  <c r="A400" i="1"/>
  <c r="F400" i="1"/>
  <c r="F144" i="1"/>
  <c r="A144" i="1"/>
  <c r="B145" i="1"/>
  <c r="F529" i="1"/>
  <c r="A529" i="1"/>
  <c r="A118" i="1"/>
  <c r="B119" i="1"/>
  <c r="F118" i="1"/>
  <c r="K36" i="1"/>
  <c r="K37" i="1" s="1"/>
  <c r="K38" i="1" s="1"/>
  <c r="K39" i="1" s="1"/>
  <c r="K40" i="1" s="1"/>
  <c r="K41" i="1" s="1"/>
  <c r="L35" i="1"/>
  <c r="L36" i="1" s="1"/>
  <c r="L37" i="1" s="1"/>
  <c r="L38" i="1" s="1"/>
  <c r="L39" i="1" s="1"/>
  <c r="L40" i="1" s="1"/>
  <c r="L41" i="1" s="1"/>
  <c r="K42" i="1" s="1"/>
  <c r="B74" i="1"/>
  <c r="F73" i="1"/>
  <c r="A73" i="1"/>
  <c r="F262" i="1"/>
  <c r="A262" i="1"/>
  <c r="B263" i="1"/>
  <c r="F469" i="1"/>
  <c r="A469" i="1"/>
  <c r="B470" i="1"/>
  <c r="A554" i="1"/>
  <c r="B555" i="1"/>
  <c r="F554" i="1"/>
  <c r="B187" i="1"/>
  <c r="F186" i="1"/>
  <c r="A186" i="1"/>
  <c r="F228" i="1"/>
  <c r="A228" i="1"/>
  <c r="B229" i="1"/>
  <c r="B67" i="1"/>
  <c r="F66" i="1"/>
  <c r="A66" i="1"/>
  <c r="F548" i="1"/>
  <c r="A548" i="1"/>
  <c r="B549" i="1"/>
  <c r="F60" i="1"/>
  <c r="A60" i="1"/>
  <c r="B61" i="1"/>
  <c r="I45" i="1"/>
  <c r="H45" i="1"/>
  <c r="B237" i="1"/>
  <c r="F236" i="1"/>
  <c r="A236" i="1"/>
  <c r="B405" i="1"/>
  <c r="F404" i="1"/>
  <c r="A404" i="1"/>
  <c r="B253" i="1"/>
  <c r="F252" i="1"/>
  <c r="A252" i="1"/>
  <c r="A389" i="1"/>
  <c r="B390" i="1"/>
  <c r="F389" i="1"/>
  <c r="F533" i="1"/>
  <c r="A533" i="1"/>
  <c r="F128" i="1"/>
  <c r="A128" i="1"/>
  <c r="B129" i="1"/>
  <c r="F445" i="1"/>
  <c r="A445" i="1"/>
  <c r="B446" i="1"/>
  <c r="F180" i="1"/>
  <c r="A180" i="1"/>
  <c r="B181" i="1"/>
  <c r="A89" i="1"/>
  <c r="F89" i="1"/>
  <c r="A475" i="1"/>
  <c r="B476" i="1"/>
  <c r="F475" i="1"/>
  <c r="F244" i="1"/>
  <c r="A244" i="1"/>
  <c r="B245" i="1"/>
  <c r="F419" i="1"/>
  <c r="A419" i="1"/>
  <c r="F537" i="1"/>
  <c r="A537" i="1"/>
  <c r="F210" i="1"/>
  <c r="A210" i="1"/>
  <c r="B216" i="1"/>
  <c r="A215" i="1"/>
  <c r="F215" i="1"/>
  <c r="A107" i="1"/>
  <c r="F107" i="1"/>
  <c r="F360" i="1"/>
  <c r="A360" i="1"/>
  <c r="B203" i="1"/>
  <c r="F202" i="1"/>
  <c r="A202" i="1"/>
  <c r="B146" i="1" l="1"/>
  <c r="F145" i="1"/>
  <c r="A145" i="1"/>
  <c r="A181" i="1"/>
  <c r="F181" i="1"/>
  <c r="F101" i="1"/>
  <c r="A101" i="1"/>
  <c r="F61" i="1"/>
  <c r="A61" i="1"/>
  <c r="F282" i="1"/>
  <c r="A282" i="1"/>
  <c r="B283" i="1"/>
  <c r="F495" i="1"/>
  <c r="B496" i="1"/>
  <c r="F390" i="1"/>
  <c r="A390" i="1"/>
  <c r="F203" i="1"/>
  <c r="A203" i="1"/>
  <c r="B204" i="1"/>
  <c r="B246" i="1"/>
  <c r="F245" i="1"/>
  <c r="A245" i="1"/>
  <c r="F253" i="1"/>
  <c r="A253" i="1"/>
  <c r="B550" i="1"/>
  <c r="F549" i="1"/>
  <c r="A549" i="1"/>
  <c r="K43" i="1"/>
  <c r="K44" i="1" s="1"/>
  <c r="K45" i="1" s="1"/>
  <c r="K46" i="1" s="1"/>
  <c r="K47" i="1" s="1"/>
  <c r="K48" i="1" s="1"/>
  <c r="L42" i="1"/>
  <c r="L43" i="1" s="1"/>
  <c r="L44" i="1" s="1"/>
  <c r="L45" i="1" s="1"/>
  <c r="L46" i="1" s="1"/>
  <c r="L47" i="1" s="1"/>
  <c r="L48" i="1" s="1"/>
  <c r="K49" i="1" s="1"/>
  <c r="F155" i="1"/>
  <c r="A155" i="1"/>
  <c r="B156" i="1"/>
  <c r="F367" i="1"/>
  <c r="A367" i="1"/>
  <c r="F196" i="1"/>
  <c r="A196" i="1"/>
  <c r="B197" i="1"/>
  <c r="F555" i="1"/>
  <c r="A555" i="1"/>
  <c r="B556" i="1"/>
  <c r="B164" i="1"/>
  <c r="F163" i="1"/>
  <c r="A163" i="1"/>
  <c r="F428" i="1"/>
  <c r="A428" i="1"/>
  <c r="B429" i="1"/>
  <c r="H46" i="1"/>
  <c r="I46" i="1"/>
  <c r="F308" i="1"/>
  <c r="A308" i="1"/>
  <c r="B309" i="1"/>
  <c r="B130" i="1"/>
  <c r="F129" i="1"/>
  <c r="A129" i="1"/>
  <c r="A440" i="1"/>
  <c r="B441" i="1"/>
  <c r="F440" i="1"/>
  <c r="A353" i="1"/>
  <c r="B354" i="1"/>
  <c r="F353" i="1"/>
  <c r="B188" i="1"/>
  <c r="F187" i="1"/>
  <c r="A187" i="1"/>
  <c r="F405" i="1"/>
  <c r="A405" i="1"/>
  <c r="B406" i="1"/>
  <c r="B471" i="1"/>
  <c r="F470" i="1"/>
  <c r="A470" i="1"/>
  <c r="F119" i="1"/>
  <c r="A119" i="1"/>
  <c r="F464" i="1"/>
  <c r="A464" i="1"/>
  <c r="F74" i="1"/>
  <c r="A74" i="1"/>
  <c r="F561" i="1"/>
  <c r="A561" i="1"/>
  <c r="B562" i="1"/>
  <c r="F476" i="1"/>
  <c r="A476" i="1"/>
  <c r="F515" i="1"/>
  <c r="A515" i="1"/>
  <c r="A521" i="1"/>
  <c r="F521" i="1"/>
  <c r="B82" i="1"/>
  <c r="F81" i="1"/>
  <c r="A81" i="1"/>
  <c r="F216" i="1"/>
  <c r="A216" i="1"/>
  <c r="B217" i="1"/>
  <c r="F67" i="1"/>
  <c r="A67" i="1"/>
  <c r="B172" i="1"/>
  <c r="F171" i="1"/>
  <c r="A171" i="1"/>
  <c r="B447" i="1"/>
  <c r="F446" i="1"/>
  <c r="A446" i="1"/>
  <c r="F237" i="1"/>
  <c r="A237" i="1"/>
  <c r="B238" i="1"/>
  <c r="B230" i="1"/>
  <c r="F229" i="1"/>
  <c r="A229" i="1"/>
  <c r="B264" i="1"/>
  <c r="F263" i="1"/>
  <c r="A263" i="1"/>
  <c r="F346" i="1"/>
  <c r="A346" i="1"/>
  <c r="F458" i="1"/>
  <c r="A458" i="1"/>
  <c r="B459" i="1"/>
  <c r="F283" i="1" l="1"/>
  <c r="A283" i="1"/>
  <c r="F429" i="1"/>
  <c r="A429" i="1"/>
  <c r="F264" i="1"/>
  <c r="A264" i="1"/>
  <c r="B173" i="1"/>
  <c r="A172" i="1"/>
  <c r="F172" i="1"/>
  <c r="I47" i="1"/>
  <c r="H47" i="1"/>
  <c r="B157" i="1"/>
  <c r="F156" i="1"/>
  <c r="A156" i="1"/>
  <c r="F246" i="1"/>
  <c r="A246" i="1"/>
  <c r="F471" i="1"/>
  <c r="A471" i="1"/>
  <c r="B205" i="1"/>
  <c r="F204" i="1"/>
  <c r="A204" i="1"/>
  <c r="B563" i="1"/>
  <c r="F562" i="1"/>
  <c r="A562" i="1"/>
  <c r="F238" i="1"/>
  <c r="A238" i="1"/>
  <c r="F164" i="1"/>
  <c r="A164" i="1"/>
  <c r="B165" i="1"/>
  <c r="L49" i="1"/>
  <c r="L50" i="1" s="1"/>
  <c r="L51" i="1" s="1"/>
  <c r="L52" i="1" s="1"/>
  <c r="L53" i="1" s="1"/>
  <c r="L54" i="1" s="1"/>
  <c r="L55" i="1" s="1"/>
  <c r="K56" i="1" s="1"/>
  <c r="K50" i="1"/>
  <c r="K51" i="1" s="1"/>
  <c r="K52" i="1" s="1"/>
  <c r="K53" i="1" s="1"/>
  <c r="K54" i="1" s="1"/>
  <c r="K55" i="1" s="1"/>
  <c r="F230" i="1"/>
  <c r="A230" i="1"/>
  <c r="F406" i="1"/>
  <c r="A406" i="1"/>
  <c r="F459" i="1"/>
  <c r="A459" i="1"/>
  <c r="F130" i="1"/>
  <c r="A130" i="1"/>
  <c r="B131" i="1"/>
  <c r="A556" i="1"/>
  <c r="F556" i="1"/>
  <c r="F447" i="1"/>
  <c r="A447" i="1"/>
  <c r="F441" i="1"/>
  <c r="A441" i="1"/>
  <c r="A309" i="1"/>
  <c r="B310" i="1"/>
  <c r="F309" i="1"/>
  <c r="F354" i="1"/>
  <c r="A354" i="1"/>
  <c r="B497" i="1"/>
  <c r="F496" i="1"/>
  <c r="B218" i="1"/>
  <c r="F217" i="1"/>
  <c r="A217" i="1"/>
  <c r="A82" i="1"/>
  <c r="B83" i="1"/>
  <c r="F82" i="1"/>
  <c r="B189" i="1"/>
  <c r="F188" i="1"/>
  <c r="A188" i="1"/>
  <c r="F197" i="1"/>
  <c r="A197" i="1"/>
  <c r="F550" i="1"/>
  <c r="A550" i="1"/>
  <c r="F146" i="1"/>
  <c r="A146" i="1"/>
  <c r="B147" i="1"/>
  <c r="B564" i="1" l="1"/>
  <c r="F563" i="1"/>
  <c r="I48" i="1"/>
  <c r="H49" i="1" s="1"/>
  <c r="I49" i="1" s="1"/>
  <c r="H48" i="1"/>
  <c r="B148" i="1"/>
  <c r="A147" i="1"/>
  <c r="F147" i="1"/>
  <c r="A205" i="1"/>
  <c r="F205" i="1"/>
  <c r="F173" i="1"/>
  <c r="A173" i="1"/>
  <c r="F189" i="1"/>
  <c r="A189" i="1"/>
  <c r="L56" i="1"/>
  <c r="L57" i="1" s="1"/>
  <c r="L58" i="1" s="1"/>
  <c r="L59" i="1" s="1"/>
  <c r="L60" i="1" s="1"/>
  <c r="L61" i="1" s="1"/>
  <c r="K62" i="1" s="1"/>
  <c r="K57" i="1"/>
  <c r="K58" i="1" s="1"/>
  <c r="K59" i="1" s="1"/>
  <c r="K60" i="1" s="1"/>
  <c r="K61" i="1" s="1"/>
  <c r="A165" i="1"/>
  <c r="F165" i="1"/>
  <c r="F83" i="1"/>
  <c r="A83" i="1"/>
  <c r="A218" i="1"/>
  <c r="B219" i="1"/>
  <c r="F218" i="1"/>
  <c r="F497" i="1"/>
  <c r="A497" i="1"/>
  <c r="B498" i="1"/>
  <c r="B132" i="1"/>
  <c r="A131" i="1"/>
  <c r="F131" i="1"/>
  <c r="F310" i="1"/>
  <c r="B311" i="1"/>
  <c r="A310" i="1"/>
  <c r="F157" i="1"/>
  <c r="A157" i="1"/>
  <c r="F148" i="1" l="1"/>
  <c r="A148" i="1"/>
  <c r="I50" i="1"/>
  <c r="H50" i="1"/>
  <c r="L62" i="1"/>
  <c r="L63" i="1" s="1"/>
  <c r="L64" i="1" s="1"/>
  <c r="L65" i="1" s="1"/>
  <c r="L66" i="1" s="1"/>
  <c r="L67" i="1" s="1"/>
  <c r="L68" i="1" s="1"/>
  <c r="K69" i="1" s="1"/>
  <c r="K63" i="1"/>
  <c r="K64" i="1" s="1"/>
  <c r="K65" i="1" s="1"/>
  <c r="K66" i="1" s="1"/>
  <c r="K67" i="1" s="1"/>
  <c r="K68" i="1" s="1"/>
  <c r="F219" i="1"/>
  <c r="B220" i="1"/>
  <c r="A219" i="1"/>
  <c r="B312" i="1"/>
  <c r="A311" i="1"/>
  <c r="F311" i="1"/>
  <c r="F132" i="1"/>
  <c r="A132" i="1"/>
  <c r="B133" i="1"/>
  <c r="F498" i="1"/>
  <c r="A498" i="1"/>
  <c r="B499" i="1"/>
  <c r="F564" i="1"/>
  <c r="B565" i="1"/>
  <c r="A565" i="1" l="1"/>
  <c r="B566" i="1"/>
  <c r="F565" i="1"/>
  <c r="A499" i="1"/>
  <c r="B500" i="1"/>
  <c r="F499" i="1"/>
  <c r="F133" i="1"/>
  <c r="B134" i="1"/>
  <c r="A133" i="1"/>
  <c r="A312" i="1"/>
  <c r="B313" i="1"/>
  <c r="F312" i="1"/>
  <c r="K70" i="1"/>
  <c r="K71" i="1" s="1"/>
  <c r="K72" i="1" s="1"/>
  <c r="K73" i="1" s="1"/>
  <c r="K74" i="1" s="1"/>
  <c r="K75" i="1" s="1"/>
  <c r="K76" i="1" s="1"/>
  <c r="L69" i="1"/>
  <c r="L70" i="1" s="1"/>
  <c r="L71" i="1" s="1"/>
  <c r="L72" i="1" s="1"/>
  <c r="L73" i="1" s="1"/>
  <c r="L74" i="1" s="1"/>
  <c r="L75" i="1" s="1"/>
  <c r="L76" i="1" s="1"/>
  <c r="K77" i="1" s="1"/>
  <c r="B221" i="1"/>
  <c r="F220" i="1"/>
  <c r="A220" i="1"/>
  <c r="I51" i="1"/>
  <c r="H51" i="1"/>
  <c r="B314" i="1" l="1"/>
  <c r="F313" i="1"/>
  <c r="A313" i="1"/>
  <c r="I52" i="1"/>
  <c r="H52" i="1"/>
  <c r="F500" i="1"/>
  <c r="A500" i="1"/>
  <c r="B501" i="1"/>
  <c r="A134" i="1"/>
  <c r="B135" i="1"/>
  <c r="F134" i="1"/>
  <c r="F221" i="1"/>
  <c r="A221" i="1"/>
  <c r="B222" i="1"/>
  <c r="L77" i="1"/>
  <c r="L78" i="1" s="1"/>
  <c r="L79" i="1" s="1"/>
  <c r="L80" i="1" s="1"/>
  <c r="L81" i="1" s="1"/>
  <c r="L82" i="1" s="1"/>
  <c r="L83" i="1" s="1"/>
  <c r="K84" i="1" s="1"/>
  <c r="K78" i="1"/>
  <c r="K79" i="1" s="1"/>
  <c r="K80" i="1" s="1"/>
  <c r="K81" i="1" s="1"/>
  <c r="K82" i="1" s="1"/>
  <c r="K83" i="1" s="1"/>
  <c r="F566" i="1"/>
  <c r="A566" i="1"/>
  <c r="B567" i="1"/>
  <c r="F135" i="1" l="1"/>
  <c r="A135" i="1"/>
  <c r="A501" i="1"/>
  <c r="F501" i="1"/>
  <c r="I53" i="1"/>
  <c r="H53" i="1"/>
  <c r="B568" i="1"/>
  <c r="F567" i="1"/>
  <c r="A567" i="1"/>
  <c r="K85" i="1"/>
  <c r="K86" i="1" s="1"/>
  <c r="K87" i="1" s="1"/>
  <c r="K88" i="1" s="1"/>
  <c r="K89" i="1" s="1"/>
  <c r="L84" i="1"/>
  <c r="L85" i="1" s="1"/>
  <c r="L86" i="1" s="1"/>
  <c r="L87" i="1" s="1"/>
  <c r="L88" i="1" s="1"/>
  <c r="L89" i="1" s="1"/>
  <c r="K90" i="1" s="1"/>
  <c r="F222" i="1"/>
  <c r="A222" i="1"/>
  <c r="B315" i="1"/>
  <c r="F314" i="1"/>
  <c r="A314" i="1"/>
  <c r="L90" i="1" l="1"/>
  <c r="L91" i="1" s="1"/>
  <c r="L92" i="1" s="1"/>
  <c r="L93" i="1" s="1"/>
  <c r="L94" i="1" s="1"/>
  <c r="L95" i="1" s="1"/>
  <c r="K96" i="1" s="1"/>
  <c r="K91" i="1"/>
  <c r="K92" i="1" s="1"/>
  <c r="K93" i="1" s="1"/>
  <c r="K94" i="1" s="1"/>
  <c r="K95" i="1" s="1"/>
  <c r="I54" i="1"/>
  <c r="H54" i="1"/>
  <c r="F568" i="1"/>
  <c r="A568" i="1"/>
  <c r="B569" i="1"/>
  <c r="F315" i="1"/>
  <c r="A315" i="1"/>
  <c r="B316" i="1"/>
  <c r="F569" i="1" l="1"/>
  <c r="A569" i="1"/>
  <c r="I55" i="1"/>
  <c r="H56" i="1" s="1"/>
  <c r="I56" i="1" s="1"/>
  <c r="H55" i="1"/>
  <c r="F316" i="1"/>
  <c r="A316" i="1"/>
  <c r="K97" i="1"/>
  <c r="K98" i="1" s="1"/>
  <c r="K99" i="1" s="1"/>
  <c r="K100" i="1" s="1"/>
  <c r="K101" i="1" s="1"/>
  <c r="L96" i="1"/>
  <c r="L97" i="1" s="1"/>
  <c r="L98" i="1" s="1"/>
  <c r="L99" i="1" s="1"/>
  <c r="L100" i="1" s="1"/>
  <c r="L101" i="1" s="1"/>
  <c r="K102" i="1" s="1"/>
  <c r="H57" i="1" l="1"/>
  <c r="I57" i="1"/>
  <c r="K103" i="1"/>
  <c r="K104" i="1" s="1"/>
  <c r="K105" i="1" s="1"/>
  <c r="K106" i="1" s="1"/>
  <c r="K107" i="1" s="1"/>
  <c r="L102" i="1"/>
  <c r="L103" i="1" s="1"/>
  <c r="L104" i="1" s="1"/>
  <c r="L105" i="1" s="1"/>
  <c r="L106" i="1" s="1"/>
  <c r="L107" i="1" s="1"/>
  <c r="K108" i="1" s="1"/>
  <c r="L108" i="1" l="1"/>
  <c r="L109" i="1" s="1"/>
  <c r="L110" i="1" s="1"/>
  <c r="L111" i="1" s="1"/>
  <c r="L112" i="1" s="1"/>
  <c r="L113" i="1" s="1"/>
  <c r="K114" i="1" s="1"/>
  <c r="K109" i="1"/>
  <c r="K110" i="1" s="1"/>
  <c r="K111" i="1" s="1"/>
  <c r="K112" i="1" s="1"/>
  <c r="K113" i="1" s="1"/>
  <c r="I58" i="1"/>
  <c r="H58" i="1"/>
  <c r="I59" i="1" l="1"/>
  <c r="H59" i="1"/>
  <c r="K115" i="1"/>
  <c r="K116" i="1" s="1"/>
  <c r="K117" i="1" s="1"/>
  <c r="K118" i="1" s="1"/>
  <c r="K119" i="1" s="1"/>
  <c r="L114" i="1"/>
  <c r="L115" i="1" s="1"/>
  <c r="L116" i="1" s="1"/>
  <c r="L117" i="1" s="1"/>
  <c r="L118" i="1" s="1"/>
  <c r="L119" i="1" s="1"/>
  <c r="K120" i="1" s="1"/>
  <c r="K121" i="1" l="1"/>
  <c r="K122" i="1" s="1"/>
  <c r="K123" i="1" s="1"/>
  <c r="K124" i="1" s="1"/>
  <c r="L120" i="1"/>
  <c r="L121" i="1" s="1"/>
  <c r="L122" i="1" s="1"/>
  <c r="L123" i="1" s="1"/>
  <c r="L124" i="1" s="1"/>
  <c r="K125" i="1" s="1"/>
  <c r="I60" i="1"/>
  <c r="H60" i="1"/>
  <c r="H61" i="1" l="1"/>
  <c r="I61" i="1"/>
  <c r="H62" i="1" s="1"/>
  <c r="I62" i="1" s="1"/>
  <c r="K126" i="1"/>
  <c r="K127" i="1" s="1"/>
  <c r="K128" i="1" s="1"/>
  <c r="K129" i="1" s="1"/>
  <c r="K130" i="1" s="1"/>
  <c r="K131" i="1" s="1"/>
  <c r="K132" i="1" s="1"/>
  <c r="K133" i="1" s="1"/>
  <c r="K134" i="1" s="1"/>
  <c r="K135" i="1" s="1"/>
  <c r="L125" i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K136" i="1" s="1"/>
  <c r="K137" i="1" l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L136" i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K150" i="1" s="1"/>
  <c r="H63" i="1"/>
  <c r="I63" i="1"/>
  <c r="H64" i="1" l="1"/>
  <c r="I64" i="1"/>
  <c r="K151" i="1"/>
  <c r="K152" i="1" s="1"/>
  <c r="K153" i="1" s="1"/>
  <c r="K154" i="1" s="1"/>
  <c r="K155" i="1" s="1"/>
  <c r="K156" i="1" s="1"/>
  <c r="K157" i="1" s="1"/>
  <c r="L150" i="1"/>
  <c r="L151" i="1" s="1"/>
  <c r="L152" i="1" s="1"/>
  <c r="L153" i="1" s="1"/>
  <c r="L154" i="1" s="1"/>
  <c r="L155" i="1" s="1"/>
  <c r="L156" i="1" s="1"/>
  <c r="L157" i="1" s="1"/>
  <c r="K158" i="1" s="1"/>
  <c r="L158" i="1" l="1"/>
  <c r="L159" i="1" s="1"/>
  <c r="L160" i="1" s="1"/>
  <c r="L161" i="1" s="1"/>
  <c r="L162" i="1" s="1"/>
  <c r="L163" i="1" s="1"/>
  <c r="L164" i="1" s="1"/>
  <c r="L165" i="1" s="1"/>
  <c r="K166" i="1" s="1"/>
  <c r="K159" i="1"/>
  <c r="K160" i="1" s="1"/>
  <c r="K161" i="1" s="1"/>
  <c r="K162" i="1" s="1"/>
  <c r="K163" i="1" s="1"/>
  <c r="K164" i="1" s="1"/>
  <c r="K165" i="1" s="1"/>
  <c r="I65" i="1"/>
  <c r="H65" i="1"/>
  <c r="I66" i="1" l="1"/>
  <c r="H66" i="1"/>
  <c r="K167" i="1"/>
  <c r="K168" i="1" s="1"/>
  <c r="K169" i="1" s="1"/>
  <c r="K170" i="1" s="1"/>
  <c r="K171" i="1" s="1"/>
  <c r="K172" i="1" s="1"/>
  <c r="K173" i="1" s="1"/>
  <c r="L166" i="1"/>
  <c r="L167" i="1" s="1"/>
  <c r="L168" i="1" s="1"/>
  <c r="L169" i="1" s="1"/>
  <c r="L170" i="1" s="1"/>
  <c r="L171" i="1" s="1"/>
  <c r="L172" i="1" s="1"/>
  <c r="L173" i="1" s="1"/>
  <c r="K174" i="1" s="1"/>
  <c r="L174" i="1" l="1"/>
  <c r="L175" i="1" s="1"/>
  <c r="L176" i="1" s="1"/>
  <c r="L177" i="1" s="1"/>
  <c r="L178" i="1" s="1"/>
  <c r="L179" i="1" s="1"/>
  <c r="L180" i="1" s="1"/>
  <c r="L181" i="1" s="1"/>
  <c r="K182" i="1" s="1"/>
  <c r="K175" i="1"/>
  <c r="K176" i="1" s="1"/>
  <c r="K177" i="1" s="1"/>
  <c r="K178" i="1" s="1"/>
  <c r="K179" i="1" s="1"/>
  <c r="K180" i="1" s="1"/>
  <c r="K181" i="1" s="1"/>
  <c r="H67" i="1"/>
  <c r="I67" i="1"/>
  <c r="H68" i="1" l="1"/>
  <c r="I68" i="1"/>
  <c r="H69" i="1" s="1"/>
  <c r="I69" i="1" s="1"/>
  <c r="K183" i="1"/>
  <c r="K184" i="1" s="1"/>
  <c r="K185" i="1" s="1"/>
  <c r="K186" i="1" s="1"/>
  <c r="K187" i="1" s="1"/>
  <c r="K188" i="1" s="1"/>
  <c r="K189" i="1" s="1"/>
  <c r="L182" i="1"/>
  <c r="L183" i="1" s="1"/>
  <c r="L184" i="1" s="1"/>
  <c r="L185" i="1" s="1"/>
  <c r="L186" i="1" s="1"/>
  <c r="L187" i="1" s="1"/>
  <c r="L188" i="1" s="1"/>
  <c r="L189" i="1" s="1"/>
  <c r="K190" i="1" s="1"/>
  <c r="L190" i="1" l="1"/>
  <c r="L191" i="1" s="1"/>
  <c r="L192" i="1" s="1"/>
  <c r="L193" i="1" s="1"/>
  <c r="L194" i="1" s="1"/>
  <c r="L195" i="1" s="1"/>
  <c r="L196" i="1" s="1"/>
  <c r="L197" i="1" s="1"/>
  <c r="K198" i="1" s="1"/>
  <c r="K191" i="1"/>
  <c r="K192" i="1" s="1"/>
  <c r="K193" i="1" s="1"/>
  <c r="K194" i="1" s="1"/>
  <c r="K195" i="1" s="1"/>
  <c r="K196" i="1" s="1"/>
  <c r="K197" i="1" s="1"/>
  <c r="I70" i="1"/>
  <c r="H70" i="1"/>
  <c r="H71" i="1" l="1"/>
  <c r="I71" i="1"/>
  <c r="K199" i="1"/>
  <c r="K200" i="1" s="1"/>
  <c r="K201" i="1" s="1"/>
  <c r="K202" i="1" s="1"/>
  <c r="K203" i="1" s="1"/>
  <c r="K204" i="1" s="1"/>
  <c r="K205" i="1" s="1"/>
  <c r="K206" i="1" s="1"/>
  <c r="L198" i="1"/>
  <c r="L199" i="1" s="1"/>
  <c r="L200" i="1" s="1"/>
  <c r="L201" i="1" s="1"/>
  <c r="L202" i="1" s="1"/>
  <c r="L203" i="1" s="1"/>
  <c r="L204" i="1" s="1"/>
  <c r="L205" i="1" s="1"/>
  <c r="L206" i="1" s="1"/>
  <c r="K207" i="1" s="1"/>
  <c r="I72" i="1" l="1"/>
  <c r="H72" i="1"/>
  <c r="K208" i="1"/>
  <c r="K209" i="1" s="1"/>
  <c r="K210" i="1" s="1"/>
  <c r="L207" i="1"/>
  <c r="L208" i="1" s="1"/>
  <c r="L209" i="1" s="1"/>
  <c r="L210" i="1" s="1"/>
  <c r="K211" i="1" s="1"/>
  <c r="K212" i="1" l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L211" i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K223" i="1" s="1"/>
  <c r="H73" i="1"/>
  <c r="I73" i="1"/>
  <c r="K224" i="1" l="1"/>
  <c r="K225" i="1" s="1"/>
  <c r="K226" i="1" s="1"/>
  <c r="K227" i="1" s="1"/>
  <c r="K228" i="1" s="1"/>
  <c r="K229" i="1" s="1"/>
  <c r="K230" i="1" s="1"/>
  <c r="L223" i="1"/>
  <c r="L224" i="1" s="1"/>
  <c r="L225" i="1" s="1"/>
  <c r="L226" i="1" s="1"/>
  <c r="L227" i="1" s="1"/>
  <c r="L228" i="1" s="1"/>
  <c r="L229" i="1" s="1"/>
  <c r="L230" i="1" s="1"/>
  <c r="K231" i="1" s="1"/>
  <c r="I74" i="1"/>
  <c r="H74" i="1"/>
  <c r="L231" i="1" l="1"/>
  <c r="L232" i="1" s="1"/>
  <c r="L233" i="1" s="1"/>
  <c r="L234" i="1" s="1"/>
  <c r="L235" i="1" s="1"/>
  <c r="L236" i="1" s="1"/>
  <c r="L237" i="1" s="1"/>
  <c r="L238" i="1" s="1"/>
  <c r="K239" i="1" s="1"/>
  <c r="K232" i="1"/>
  <c r="K233" i="1" s="1"/>
  <c r="K234" i="1" s="1"/>
  <c r="K235" i="1" s="1"/>
  <c r="K236" i="1" s="1"/>
  <c r="K237" i="1" s="1"/>
  <c r="K238" i="1" s="1"/>
  <c r="H75" i="1"/>
  <c r="I75" i="1"/>
  <c r="I76" i="1" l="1"/>
  <c r="H77" i="1" s="1"/>
  <c r="I77" i="1" s="1"/>
  <c r="H76" i="1"/>
  <c r="K240" i="1"/>
  <c r="K241" i="1" s="1"/>
  <c r="K242" i="1" s="1"/>
  <c r="K243" i="1" s="1"/>
  <c r="K244" i="1" s="1"/>
  <c r="K245" i="1" s="1"/>
  <c r="K246" i="1" s="1"/>
  <c r="L239" i="1"/>
  <c r="L240" i="1" s="1"/>
  <c r="L241" i="1" s="1"/>
  <c r="L242" i="1" s="1"/>
  <c r="L243" i="1" s="1"/>
  <c r="L244" i="1" s="1"/>
  <c r="L245" i="1" s="1"/>
  <c r="L246" i="1" s="1"/>
  <c r="K247" i="1" s="1"/>
  <c r="L247" i="1" l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K259" i="1" s="1"/>
  <c r="K248" i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I78" i="1"/>
  <c r="H78" i="1"/>
  <c r="H79" i="1" l="1"/>
  <c r="I79" i="1"/>
  <c r="K260" i="1"/>
  <c r="K261" i="1" s="1"/>
  <c r="K262" i="1" s="1"/>
  <c r="K263" i="1" s="1"/>
  <c r="K264" i="1" s="1"/>
  <c r="L259" i="1"/>
  <c r="L260" i="1" s="1"/>
  <c r="L261" i="1" s="1"/>
  <c r="L262" i="1" s="1"/>
  <c r="L263" i="1" s="1"/>
  <c r="L264" i="1" s="1"/>
  <c r="K265" i="1" s="1"/>
  <c r="L265" i="1" l="1"/>
  <c r="L266" i="1" s="1"/>
  <c r="L267" i="1" s="1"/>
  <c r="L268" i="1" s="1"/>
  <c r="K269" i="1" s="1"/>
  <c r="K266" i="1"/>
  <c r="K267" i="1" s="1"/>
  <c r="K268" i="1" s="1"/>
  <c r="H80" i="1"/>
  <c r="I80" i="1"/>
  <c r="I81" i="1" l="1"/>
  <c r="H81" i="1"/>
  <c r="L269" i="1"/>
  <c r="L270" i="1" s="1"/>
  <c r="L271" i="1" s="1"/>
  <c r="L272" i="1" s="1"/>
  <c r="K273" i="1" s="1"/>
  <c r="K270" i="1"/>
  <c r="K271" i="1" s="1"/>
  <c r="K272" i="1" s="1"/>
  <c r="K274" i="1" l="1"/>
  <c r="K275" i="1" s="1"/>
  <c r="K276" i="1" s="1"/>
  <c r="L273" i="1"/>
  <c r="L274" i="1" s="1"/>
  <c r="L275" i="1" s="1"/>
  <c r="L276" i="1" s="1"/>
  <c r="K277" i="1" s="1"/>
  <c r="I82" i="1"/>
  <c r="H82" i="1"/>
  <c r="K278" i="1" l="1"/>
  <c r="K279" i="1" s="1"/>
  <c r="K280" i="1" s="1"/>
  <c r="K281" i="1" s="1"/>
  <c r="K282" i="1" s="1"/>
  <c r="K283" i="1" s="1"/>
  <c r="L277" i="1"/>
  <c r="L278" i="1" s="1"/>
  <c r="L279" i="1" s="1"/>
  <c r="L280" i="1" s="1"/>
  <c r="L281" i="1" s="1"/>
  <c r="L282" i="1" s="1"/>
  <c r="L283" i="1" s="1"/>
  <c r="K284" i="1" s="1"/>
  <c r="I83" i="1"/>
  <c r="H84" i="1" s="1"/>
  <c r="I84" i="1" s="1"/>
  <c r="H83" i="1"/>
  <c r="I85" i="1" l="1"/>
  <c r="H85" i="1"/>
  <c r="K285" i="1"/>
  <c r="K286" i="1" s="1"/>
  <c r="K287" i="1" s="1"/>
  <c r="L284" i="1"/>
  <c r="L285" i="1" s="1"/>
  <c r="L286" i="1" s="1"/>
  <c r="L287" i="1" s="1"/>
  <c r="K288" i="1" s="1"/>
  <c r="K289" i="1" l="1"/>
  <c r="K290" i="1" s="1"/>
  <c r="K291" i="1" s="1"/>
  <c r="L288" i="1"/>
  <c r="L289" i="1" s="1"/>
  <c r="L290" i="1" s="1"/>
  <c r="L291" i="1" s="1"/>
  <c r="K292" i="1" s="1"/>
  <c r="I86" i="1"/>
  <c r="H86" i="1"/>
  <c r="H87" i="1" l="1"/>
  <c r="I87" i="1"/>
  <c r="K293" i="1"/>
  <c r="K294" i="1" s="1"/>
  <c r="K295" i="1" s="1"/>
  <c r="L292" i="1"/>
  <c r="L293" i="1" s="1"/>
  <c r="L294" i="1" s="1"/>
  <c r="L295" i="1" s="1"/>
  <c r="K296" i="1" s="1"/>
  <c r="L296" i="1" l="1"/>
  <c r="L297" i="1" s="1"/>
  <c r="L298" i="1" s="1"/>
  <c r="L299" i="1" s="1"/>
  <c r="K300" i="1" s="1"/>
  <c r="K297" i="1"/>
  <c r="K298" i="1" s="1"/>
  <c r="K299" i="1" s="1"/>
  <c r="I88" i="1"/>
  <c r="H88" i="1"/>
  <c r="I89" i="1" l="1"/>
  <c r="H90" i="1" s="1"/>
  <c r="I90" i="1" s="1"/>
  <c r="H89" i="1"/>
  <c r="L300" i="1"/>
  <c r="L301" i="1" s="1"/>
  <c r="L302" i="1" s="1"/>
  <c r="L303" i="1" s="1"/>
  <c r="K304" i="1" s="1"/>
  <c r="K301" i="1"/>
  <c r="K302" i="1" s="1"/>
  <c r="K303" i="1" s="1"/>
  <c r="L304" i="1" l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K317" i="1" s="1"/>
  <c r="K305" i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I91" i="1"/>
  <c r="H91" i="1"/>
  <c r="I92" i="1" l="1"/>
  <c r="H92" i="1"/>
  <c r="L317" i="1"/>
  <c r="L318" i="1" s="1"/>
  <c r="L319" i="1" s="1"/>
  <c r="L320" i="1" s="1"/>
  <c r="L321" i="1" s="1"/>
  <c r="K322" i="1" s="1"/>
  <c r="K318" i="1"/>
  <c r="K319" i="1" s="1"/>
  <c r="K320" i="1" s="1"/>
  <c r="K321" i="1" s="1"/>
  <c r="L322" i="1" l="1"/>
  <c r="L323" i="1" s="1"/>
  <c r="L324" i="1" s="1"/>
  <c r="L325" i="1" s="1"/>
  <c r="L326" i="1" s="1"/>
  <c r="K327" i="1" s="1"/>
  <c r="K323" i="1"/>
  <c r="K324" i="1" s="1"/>
  <c r="K325" i="1" s="1"/>
  <c r="K326" i="1" s="1"/>
  <c r="H93" i="1"/>
  <c r="I93" i="1"/>
  <c r="I94" i="1" l="1"/>
  <c r="H94" i="1"/>
  <c r="K328" i="1"/>
  <c r="K329" i="1" s="1"/>
  <c r="K330" i="1" s="1"/>
  <c r="K331" i="1" s="1"/>
  <c r="K332" i="1" s="1"/>
  <c r="K333" i="1" s="1"/>
  <c r="K334" i="1" s="1"/>
  <c r="L327" i="1"/>
  <c r="L328" i="1" s="1"/>
  <c r="L329" i="1" s="1"/>
  <c r="L330" i="1" s="1"/>
  <c r="L331" i="1" s="1"/>
  <c r="L332" i="1" s="1"/>
  <c r="L333" i="1" s="1"/>
  <c r="L334" i="1" s="1"/>
  <c r="K335" i="1" s="1"/>
  <c r="K336" i="1" l="1"/>
  <c r="K337" i="1" s="1"/>
  <c r="K338" i="1" s="1"/>
  <c r="K339" i="1" s="1"/>
  <c r="K340" i="1" s="1"/>
  <c r="L335" i="1"/>
  <c r="L336" i="1" s="1"/>
  <c r="L337" i="1" s="1"/>
  <c r="L338" i="1" s="1"/>
  <c r="L339" i="1" s="1"/>
  <c r="L340" i="1" s="1"/>
  <c r="K341" i="1" s="1"/>
  <c r="I95" i="1"/>
  <c r="H96" i="1" s="1"/>
  <c r="I96" i="1" s="1"/>
  <c r="H95" i="1"/>
  <c r="I97" i="1" l="1"/>
  <c r="H97" i="1"/>
  <c r="L341" i="1"/>
  <c r="L342" i="1" s="1"/>
  <c r="L343" i="1" s="1"/>
  <c r="L344" i="1" s="1"/>
  <c r="L345" i="1" s="1"/>
  <c r="L346" i="1" s="1"/>
  <c r="L347" i="1" s="1"/>
  <c r="K348" i="1" s="1"/>
  <c r="K342" i="1"/>
  <c r="K343" i="1" s="1"/>
  <c r="K344" i="1" s="1"/>
  <c r="K345" i="1" s="1"/>
  <c r="K346" i="1" s="1"/>
  <c r="K347" i="1" s="1"/>
  <c r="K349" i="1" l="1"/>
  <c r="K350" i="1" s="1"/>
  <c r="K351" i="1" s="1"/>
  <c r="K352" i="1" s="1"/>
  <c r="K353" i="1" s="1"/>
  <c r="K354" i="1" s="1"/>
  <c r="L348" i="1"/>
  <c r="L349" i="1" s="1"/>
  <c r="L350" i="1" s="1"/>
  <c r="L351" i="1" s="1"/>
  <c r="L352" i="1" s="1"/>
  <c r="L353" i="1" s="1"/>
  <c r="L354" i="1" s="1"/>
  <c r="K355" i="1" s="1"/>
  <c r="I98" i="1"/>
  <c r="H98" i="1"/>
  <c r="K356" i="1" l="1"/>
  <c r="K357" i="1" s="1"/>
  <c r="K358" i="1" s="1"/>
  <c r="K359" i="1" s="1"/>
  <c r="K360" i="1" s="1"/>
  <c r="L355" i="1"/>
  <c r="L356" i="1" s="1"/>
  <c r="L357" i="1" s="1"/>
  <c r="L358" i="1" s="1"/>
  <c r="L359" i="1" s="1"/>
  <c r="L360" i="1" s="1"/>
  <c r="K361" i="1" s="1"/>
  <c r="I99" i="1"/>
  <c r="H99" i="1"/>
  <c r="L361" i="1" l="1"/>
  <c r="L362" i="1" s="1"/>
  <c r="L363" i="1" s="1"/>
  <c r="L364" i="1" s="1"/>
  <c r="L365" i="1" s="1"/>
  <c r="L366" i="1" s="1"/>
  <c r="L367" i="1" s="1"/>
  <c r="K368" i="1" s="1"/>
  <c r="K362" i="1"/>
  <c r="K363" i="1" s="1"/>
  <c r="K364" i="1" s="1"/>
  <c r="K365" i="1" s="1"/>
  <c r="K366" i="1" s="1"/>
  <c r="K367" i="1" s="1"/>
  <c r="I100" i="1"/>
  <c r="H100" i="1"/>
  <c r="I101" i="1" l="1"/>
  <c r="H102" i="1" s="1"/>
  <c r="I102" i="1" s="1"/>
  <c r="H101" i="1"/>
  <c r="L368" i="1"/>
  <c r="L369" i="1" s="1"/>
  <c r="L370" i="1" s="1"/>
  <c r="L371" i="1" s="1"/>
  <c r="L372" i="1" s="1"/>
  <c r="K373" i="1" s="1"/>
  <c r="K369" i="1"/>
  <c r="K370" i="1" s="1"/>
  <c r="K371" i="1" s="1"/>
  <c r="K372" i="1" s="1"/>
  <c r="K374" i="1" l="1"/>
  <c r="K375" i="1" s="1"/>
  <c r="K376" i="1" s="1"/>
  <c r="K377" i="1" s="1"/>
  <c r="L373" i="1"/>
  <c r="L374" i="1" s="1"/>
  <c r="L375" i="1" s="1"/>
  <c r="L376" i="1" s="1"/>
  <c r="L377" i="1" s="1"/>
  <c r="K378" i="1" s="1"/>
  <c r="I103" i="1"/>
  <c r="H103" i="1"/>
  <c r="K379" i="1" l="1"/>
  <c r="K380" i="1" s="1"/>
  <c r="K381" i="1" s="1"/>
  <c r="K382" i="1" s="1"/>
  <c r="K383" i="1" s="1"/>
  <c r="L378" i="1"/>
  <c r="L379" i="1" s="1"/>
  <c r="L380" i="1" s="1"/>
  <c r="L381" i="1" s="1"/>
  <c r="L382" i="1" s="1"/>
  <c r="L383" i="1" s="1"/>
  <c r="K384" i="1" s="1"/>
  <c r="I104" i="1"/>
  <c r="H104" i="1"/>
  <c r="H105" i="1" l="1"/>
  <c r="I105" i="1"/>
  <c r="K385" i="1"/>
  <c r="K386" i="1" s="1"/>
  <c r="K387" i="1" s="1"/>
  <c r="K388" i="1" s="1"/>
  <c r="K389" i="1" s="1"/>
  <c r="K390" i="1" s="1"/>
  <c r="L384" i="1"/>
  <c r="L385" i="1" s="1"/>
  <c r="L386" i="1" s="1"/>
  <c r="L387" i="1" s="1"/>
  <c r="L388" i="1" s="1"/>
  <c r="L389" i="1" s="1"/>
  <c r="L390" i="1" s="1"/>
  <c r="K391" i="1" s="1"/>
  <c r="K392" i="1" l="1"/>
  <c r="K393" i="1" s="1"/>
  <c r="K394" i="1" s="1"/>
  <c r="K395" i="1" s="1"/>
  <c r="L391" i="1"/>
  <c r="L392" i="1" s="1"/>
  <c r="L393" i="1" s="1"/>
  <c r="L394" i="1" s="1"/>
  <c r="L395" i="1" s="1"/>
  <c r="K396" i="1" s="1"/>
  <c r="I106" i="1"/>
  <c r="H106" i="1"/>
  <c r="K397" i="1" l="1"/>
  <c r="K398" i="1" s="1"/>
  <c r="K399" i="1" s="1"/>
  <c r="K400" i="1" s="1"/>
  <c r="L396" i="1"/>
  <c r="L397" i="1" s="1"/>
  <c r="L398" i="1" s="1"/>
  <c r="L399" i="1" s="1"/>
  <c r="L400" i="1" s="1"/>
  <c r="K401" i="1" s="1"/>
  <c r="I107" i="1"/>
  <c r="H108" i="1" s="1"/>
  <c r="I108" i="1" s="1"/>
  <c r="H107" i="1"/>
  <c r="I109" i="1" l="1"/>
  <c r="H109" i="1"/>
  <c r="L401" i="1"/>
  <c r="L402" i="1" s="1"/>
  <c r="L403" i="1" s="1"/>
  <c r="L404" i="1" s="1"/>
  <c r="L405" i="1" s="1"/>
  <c r="L406" i="1" s="1"/>
  <c r="K407" i="1" s="1"/>
  <c r="K402" i="1"/>
  <c r="K403" i="1" s="1"/>
  <c r="K404" i="1" s="1"/>
  <c r="K405" i="1" s="1"/>
  <c r="K406" i="1" s="1"/>
  <c r="K408" i="1" l="1"/>
  <c r="L407" i="1"/>
  <c r="L408" i="1" s="1"/>
  <c r="K409" i="1" s="1"/>
  <c r="I110" i="1"/>
  <c r="H110" i="1"/>
  <c r="K410" i="1" l="1"/>
  <c r="L409" i="1"/>
  <c r="L410" i="1" s="1"/>
  <c r="K411" i="1" s="1"/>
  <c r="H111" i="1"/>
  <c r="I111" i="1"/>
  <c r="K412" i="1" l="1"/>
  <c r="K413" i="1" s="1"/>
  <c r="K414" i="1" s="1"/>
  <c r="L411" i="1"/>
  <c r="L412" i="1" s="1"/>
  <c r="L413" i="1" s="1"/>
  <c r="L414" i="1" s="1"/>
  <c r="K415" i="1" s="1"/>
  <c r="I112" i="1"/>
  <c r="H112" i="1"/>
  <c r="I113" i="1" l="1"/>
  <c r="H114" i="1" s="1"/>
  <c r="I114" i="1" s="1"/>
  <c r="H113" i="1"/>
  <c r="K416" i="1"/>
  <c r="K417" i="1" s="1"/>
  <c r="K418" i="1" s="1"/>
  <c r="K419" i="1" s="1"/>
  <c r="L415" i="1"/>
  <c r="L416" i="1" s="1"/>
  <c r="L417" i="1" s="1"/>
  <c r="L418" i="1" s="1"/>
  <c r="L419" i="1" s="1"/>
  <c r="K420" i="1" s="1"/>
  <c r="L420" i="1" l="1"/>
  <c r="L421" i="1" s="1"/>
  <c r="L422" i="1" s="1"/>
  <c r="L423" i="1" s="1"/>
  <c r="K424" i="1" s="1"/>
  <c r="K421" i="1"/>
  <c r="K422" i="1" s="1"/>
  <c r="K423" i="1" s="1"/>
  <c r="I115" i="1"/>
  <c r="H115" i="1"/>
  <c r="I116" i="1" l="1"/>
  <c r="H116" i="1"/>
  <c r="K425" i="1"/>
  <c r="K426" i="1" s="1"/>
  <c r="K427" i="1" s="1"/>
  <c r="K428" i="1" s="1"/>
  <c r="K429" i="1" s="1"/>
  <c r="L424" i="1"/>
  <c r="L425" i="1" s="1"/>
  <c r="L426" i="1" s="1"/>
  <c r="L427" i="1" s="1"/>
  <c r="L428" i="1" s="1"/>
  <c r="L429" i="1" s="1"/>
  <c r="K430" i="1" s="1"/>
  <c r="K431" i="1" l="1"/>
  <c r="K432" i="1" s="1"/>
  <c r="K433" i="1" s="1"/>
  <c r="K434" i="1" s="1"/>
  <c r="K435" i="1" s="1"/>
  <c r="L430" i="1"/>
  <c r="L431" i="1" s="1"/>
  <c r="L432" i="1" s="1"/>
  <c r="L433" i="1" s="1"/>
  <c r="L434" i="1" s="1"/>
  <c r="L435" i="1" s="1"/>
  <c r="K436" i="1" s="1"/>
  <c r="I117" i="1"/>
  <c r="H117" i="1"/>
  <c r="I118" i="1" l="1"/>
  <c r="H118" i="1"/>
  <c r="K437" i="1"/>
  <c r="K438" i="1" s="1"/>
  <c r="K439" i="1" s="1"/>
  <c r="K440" i="1" s="1"/>
  <c r="K441" i="1" s="1"/>
  <c r="L436" i="1"/>
  <c r="L437" i="1" s="1"/>
  <c r="L438" i="1" s="1"/>
  <c r="L439" i="1" s="1"/>
  <c r="L440" i="1" s="1"/>
  <c r="L441" i="1" s="1"/>
  <c r="K442" i="1" s="1"/>
  <c r="K443" i="1" l="1"/>
  <c r="K444" i="1" s="1"/>
  <c r="K445" i="1" s="1"/>
  <c r="K446" i="1" s="1"/>
  <c r="K447" i="1" s="1"/>
  <c r="L442" i="1"/>
  <c r="L443" i="1" s="1"/>
  <c r="L444" i="1" s="1"/>
  <c r="L445" i="1" s="1"/>
  <c r="L446" i="1" s="1"/>
  <c r="L447" i="1" s="1"/>
  <c r="K448" i="1" s="1"/>
  <c r="I119" i="1"/>
  <c r="H120" i="1" s="1"/>
  <c r="I120" i="1" s="1"/>
  <c r="H119" i="1"/>
  <c r="L448" i="1" l="1"/>
  <c r="L449" i="1" s="1"/>
  <c r="L450" i="1" s="1"/>
  <c r="L451" i="1" s="1"/>
  <c r="L452" i="1" s="1"/>
  <c r="L453" i="1" s="1"/>
  <c r="K454" i="1" s="1"/>
  <c r="K449" i="1"/>
  <c r="K450" i="1" s="1"/>
  <c r="K451" i="1" s="1"/>
  <c r="K452" i="1" s="1"/>
  <c r="K453" i="1" s="1"/>
  <c r="I121" i="1"/>
  <c r="H121" i="1"/>
  <c r="I122" i="1" l="1"/>
  <c r="H122" i="1"/>
  <c r="L454" i="1"/>
  <c r="L455" i="1" s="1"/>
  <c r="L456" i="1" s="1"/>
  <c r="L457" i="1" s="1"/>
  <c r="L458" i="1" s="1"/>
  <c r="L459" i="1" s="1"/>
  <c r="K460" i="1" s="1"/>
  <c r="K455" i="1"/>
  <c r="K456" i="1" s="1"/>
  <c r="K457" i="1" s="1"/>
  <c r="K458" i="1" s="1"/>
  <c r="K459" i="1" s="1"/>
  <c r="K461" i="1" l="1"/>
  <c r="K462" i="1" s="1"/>
  <c r="K463" i="1" s="1"/>
  <c r="K464" i="1" s="1"/>
  <c r="K465" i="1" s="1"/>
  <c r="L460" i="1"/>
  <c r="L461" i="1" s="1"/>
  <c r="L462" i="1" s="1"/>
  <c r="L463" i="1" s="1"/>
  <c r="L464" i="1" s="1"/>
  <c r="L465" i="1" s="1"/>
  <c r="K466" i="1" s="1"/>
  <c r="H123" i="1"/>
  <c r="I123" i="1"/>
  <c r="I124" i="1" l="1"/>
  <c r="H125" i="1" s="1"/>
  <c r="I125" i="1" s="1"/>
  <c r="H124" i="1"/>
  <c r="K467" i="1"/>
  <c r="K468" i="1" s="1"/>
  <c r="K469" i="1" s="1"/>
  <c r="K470" i="1" s="1"/>
  <c r="K471" i="1" s="1"/>
  <c r="K472" i="1" s="1"/>
  <c r="K473" i="1" s="1"/>
  <c r="K474" i="1" s="1"/>
  <c r="K475" i="1" s="1"/>
  <c r="K476" i="1" s="1"/>
  <c r="L466" i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K477" i="1" s="1"/>
  <c r="K478" i="1" l="1"/>
  <c r="K479" i="1" s="1"/>
  <c r="K480" i="1" s="1"/>
  <c r="L477" i="1"/>
  <c r="L478" i="1" s="1"/>
  <c r="L479" i="1" s="1"/>
  <c r="L480" i="1" s="1"/>
  <c r="K481" i="1" s="1"/>
  <c r="I126" i="1"/>
  <c r="H126" i="1"/>
  <c r="L481" i="1" l="1"/>
  <c r="L482" i="1" s="1"/>
  <c r="L483" i="1" s="1"/>
  <c r="L484" i="1" s="1"/>
  <c r="K485" i="1" s="1"/>
  <c r="K482" i="1"/>
  <c r="K483" i="1" s="1"/>
  <c r="K484" i="1" s="1"/>
  <c r="I127" i="1"/>
  <c r="H127" i="1"/>
  <c r="I128" i="1" l="1"/>
  <c r="H128" i="1"/>
  <c r="L485" i="1"/>
  <c r="L486" i="1" s="1"/>
  <c r="L487" i="1" s="1"/>
  <c r="L488" i="1" s="1"/>
  <c r="L489" i="1" s="1"/>
  <c r="K490" i="1" s="1"/>
  <c r="K486" i="1"/>
  <c r="K487" i="1" s="1"/>
  <c r="K488" i="1" s="1"/>
  <c r="K489" i="1" s="1"/>
  <c r="K491" i="1" l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L490" i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K504" i="1" s="1"/>
  <c r="H129" i="1"/>
  <c r="I129" i="1"/>
  <c r="I130" i="1" l="1"/>
  <c r="H130" i="1"/>
  <c r="L504" i="1"/>
  <c r="L505" i="1" s="1"/>
  <c r="L506" i="1" s="1"/>
  <c r="L507" i="1" s="1"/>
  <c r="L508" i="1" s="1"/>
  <c r="L509" i="1" s="1"/>
  <c r="K510" i="1" s="1"/>
  <c r="K505" i="1"/>
  <c r="K506" i="1" s="1"/>
  <c r="K507" i="1" s="1"/>
  <c r="K508" i="1" s="1"/>
  <c r="K509" i="1" s="1"/>
  <c r="K511" i="1" l="1"/>
  <c r="K512" i="1" s="1"/>
  <c r="K513" i="1" s="1"/>
  <c r="K514" i="1" s="1"/>
  <c r="K515" i="1" s="1"/>
  <c r="L510" i="1"/>
  <c r="L511" i="1" s="1"/>
  <c r="L512" i="1" s="1"/>
  <c r="L513" i="1" s="1"/>
  <c r="L514" i="1" s="1"/>
  <c r="L515" i="1" s="1"/>
  <c r="K516" i="1" s="1"/>
  <c r="I131" i="1"/>
  <c r="H131" i="1"/>
  <c r="L516" i="1" l="1"/>
  <c r="L517" i="1" s="1"/>
  <c r="L518" i="1" s="1"/>
  <c r="L519" i="1" s="1"/>
  <c r="L520" i="1" s="1"/>
  <c r="L521" i="1" s="1"/>
  <c r="K522" i="1" s="1"/>
  <c r="K517" i="1"/>
  <c r="K518" i="1" s="1"/>
  <c r="K519" i="1" s="1"/>
  <c r="K520" i="1" s="1"/>
  <c r="K521" i="1" s="1"/>
  <c r="I132" i="1"/>
  <c r="H132" i="1"/>
  <c r="I133" i="1" l="1"/>
  <c r="H133" i="1"/>
  <c r="L522" i="1"/>
  <c r="L523" i="1" s="1"/>
  <c r="L524" i="1" s="1"/>
  <c r="L525" i="1" s="1"/>
  <c r="L526" i="1" s="1"/>
  <c r="L527" i="1" s="1"/>
  <c r="L528" i="1" s="1"/>
  <c r="L529" i="1" s="1"/>
  <c r="K530" i="1" s="1"/>
  <c r="K523" i="1"/>
  <c r="K524" i="1" s="1"/>
  <c r="K525" i="1" s="1"/>
  <c r="K526" i="1" s="1"/>
  <c r="K527" i="1" s="1"/>
  <c r="K528" i="1" s="1"/>
  <c r="K529" i="1" s="1"/>
  <c r="K531" i="1" l="1"/>
  <c r="K532" i="1" s="1"/>
  <c r="K533" i="1" s="1"/>
  <c r="L530" i="1"/>
  <c r="L531" i="1" s="1"/>
  <c r="L532" i="1" s="1"/>
  <c r="L533" i="1" s="1"/>
  <c r="K534" i="1" s="1"/>
  <c r="I134" i="1"/>
  <c r="H134" i="1"/>
  <c r="I135" i="1" l="1"/>
  <c r="H136" i="1" s="1"/>
  <c r="I136" i="1" s="1"/>
  <c r="H135" i="1"/>
  <c r="K535" i="1"/>
  <c r="K536" i="1" s="1"/>
  <c r="K537" i="1" s="1"/>
  <c r="L534" i="1"/>
  <c r="L535" i="1" s="1"/>
  <c r="L536" i="1" s="1"/>
  <c r="L537" i="1" s="1"/>
  <c r="K538" i="1" s="1"/>
  <c r="K539" i="1" l="1"/>
  <c r="K540" i="1" s="1"/>
  <c r="K541" i="1" s="1"/>
  <c r="K542" i="1" s="1"/>
  <c r="K543" i="1" s="1"/>
  <c r="L538" i="1"/>
  <c r="L539" i="1" s="1"/>
  <c r="L540" i="1" s="1"/>
  <c r="L541" i="1" s="1"/>
  <c r="L542" i="1" s="1"/>
  <c r="L543" i="1" s="1"/>
  <c r="K544" i="1" s="1"/>
  <c r="I137" i="1"/>
  <c r="H137" i="1"/>
  <c r="L544" i="1" l="1"/>
  <c r="L545" i="1" s="1"/>
  <c r="L546" i="1" s="1"/>
  <c r="L547" i="1" s="1"/>
  <c r="L548" i="1" s="1"/>
  <c r="L549" i="1" s="1"/>
  <c r="L550" i="1" s="1"/>
  <c r="K551" i="1" s="1"/>
  <c r="K545" i="1"/>
  <c r="K546" i="1" s="1"/>
  <c r="K547" i="1" s="1"/>
  <c r="K548" i="1" s="1"/>
  <c r="K549" i="1" s="1"/>
  <c r="K550" i="1" s="1"/>
  <c r="I138" i="1"/>
  <c r="H138" i="1"/>
  <c r="H139" i="1" l="1"/>
  <c r="I139" i="1"/>
  <c r="L551" i="1"/>
  <c r="L552" i="1" s="1"/>
  <c r="L553" i="1" s="1"/>
  <c r="L554" i="1" s="1"/>
  <c r="L555" i="1" s="1"/>
  <c r="L556" i="1" s="1"/>
  <c r="K557" i="1" s="1"/>
  <c r="K552" i="1"/>
  <c r="K553" i="1" s="1"/>
  <c r="K554" i="1" s="1"/>
  <c r="K555" i="1" s="1"/>
  <c r="K556" i="1" s="1"/>
  <c r="I140" i="1" l="1"/>
  <c r="H140" i="1"/>
  <c r="L557" i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K558" i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H141" i="1" l="1"/>
  <c r="I141" i="1"/>
  <c r="I142" i="1" l="1"/>
  <c r="H142" i="1"/>
  <c r="I143" i="1" l="1"/>
  <c r="H143" i="1"/>
  <c r="I144" i="1" l="1"/>
  <c r="H144" i="1"/>
  <c r="H145" i="1" l="1"/>
  <c r="I145" i="1"/>
  <c r="I146" i="1" l="1"/>
  <c r="H146" i="1"/>
  <c r="I147" i="1" l="1"/>
  <c r="H147" i="1"/>
  <c r="I148" i="1" l="1"/>
  <c r="H148" i="1"/>
  <c r="I149" i="1" l="1"/>
  <c r="H150" i="1" s="1"/>
  <c r="I150" i="1" s="1"/>
  <c r="H149" i="1"/>
  <c r="I151" i="1" l="1"/>
  <c r="H151" i="1"/>
  <c r="I152" i="1" l="1"/>
  <c r="H152" i="1"/>
  <c r="I153" i="1" l="1"/>
  <c r="H153" i="1"/>
  <c r="I154" i="1" l="1"/>
  <c r="H154" i="1"/>
  <c r="I155" i="1" l="1"/>
  <c r="H155" i="1"/>
  <c r="I156" i="1" l="1"/>
  <c r="H156" i="1"/>
  <c r="H157" i="1" l="1"/>
  <c r="I157" i="1"/>
  <c r="H158" i="1" s="1"/>
  <c r="I158" i="1" s="1"/>
  <c r="H159" i="1" l="1"/>
  <c r="I159" i="1"/>
  <c r="I160" i="1" l="1"/>
  <c r="H160" i="1"/>
  <c r="I161" i="1" l="1"/>
  <c r="H161" i="1"/>
  <c r="I162" i="1" l="1"/>
  <c r="H162" i="1"/>
  <c r="H163" i="1" l="1"/>
  <c r="I163" i="1"/>
  <c r="I164" i="1" l="1"/>
  <c r="H164" i="1"/>
  <c r="I165" i="1" l="1"/>
  <c r="H166" i="1" s="1"/>
  <c r="I166" i="1" s="1"/>
  <c r="H165" i="1"/>
  <c r="I167" i="1" l="1"/>
  <c r="H167" i="1"/>
  <c r="I168" i="1" l="1"/>
  <c r="H168" i="1"/>
  <c r="H169" i="1" l="1"/>
  <c r="I169" i="1"/>
  <c r="I170" i="1" l="1"/>
  <c r="H170" i="1"/>
  <c r="H171" i="1" l="1"/>
  <c r="I171" i="1"/>
  <c r="I172" i="1" l="1"/>
  <c r="H172" i="1"/>
  <c r="I173" i="1" l="1"/>
  <c r="H174" i="1" s="1"/>
  <c r="I174" i="1" s="1"/>
  <c r="H173" i="1"/>
  <c r="I175" i="1" l="1"/>
  <c r="H175" i="1"/>
  <c r="I176" i="1" l="1"/>
  <c r="H176" i="1"/>
  <c r="I177" i="1" l="1"/>
  <c r="H177" i="1"/>
  <c r="I178" i="1" l="1"/>
  <c r="H178" i="1"/>
  <c r="I179" i="1" l="1"/>
  <c r="H179" i="1"/>
  <c r="I180" i="1" l="1"/>
  <c r="H180" i="1"/>
  <c r="I181" i="1" l="1"/>
  <c r="H182" i="1" s="1"/>
  <c r="I182" i="1" s="1"/>
  <c r="H181" i="1"/>
  <c r="I183" i="1" l="1"/>
  <c r="H183" i="1"/>
  <c r="I184" i="1" l="1"/>
  <c r="H184" i="1"/>
  <c r="H185" i="1" l="1"/>
  <c r="I185" i="1"/>
  <c r="I186" i="1" l="1"/>
  <c r="H186" i="1"/>
  <c r="H187" i="1" l="1"/>
  <c r="I187" i="1"/>
  <c r="I188" i="1" l="1"/>
  <c r="H188" i="1"/>
  <c r="I189" i="1" l="1"/>
  <c r="H190" i="1" s="1"/>
  <c r="I190" i="1" s="1"/>
  <c r="H189" i="1"/>
  <c r="I191" i="1" l="1"/>
  <c r="H191" i="1"/>
  <c r="I192" i="1" l="1"/>
  <c r="H192" i="1"/>
  <c r="I193" i="1" l="1"/>
  <c r="H193" i="1"/>
  <c r="I194" i="1" l="1"/>
  <c r="H194" i="1"/>
  <c r="I195" i="1" l="1"/>
  <c r="H195" i="1"/>
  <c r="I196" i="1" l="1"/>
  <c r="H196" i="1"/>
  <c r="I197" i="1" l="1"/>
  <c r="H198" i="1" s="1"/>
  <c r="I198" i="1" s="1"/>
  <c r="H197" i="1"/>
  <c r="I199" i="1" l="1"/>
  <c r="H199" i="1"/>
  <c r="I200" i="1" l="1"/>
  <c r="H200" i="1"/>
  <c r="I201" i="1" l="1"/>
  <c r="H201" i="1"/>
  <c r="I202" i="1" l="1"/>
  <c r="H202" i="1"/>
  <c r="H203" i="1" l="1"/>
  <c r="I203" i="1"/>
  <c r="I204" i="1" l="1"/>
  <c r="H204" i="1"/>
  <c r="I205" i="1" l="1"/>
  <c r="H205" i="1"/>
  <c r="I206" i="1" l="1"/>
  <c r="H207" i="1" s="1"/>
  <c r="I207" i="1" s="1"/>
  <c r="H206" i="1"/>
  <c r="I208" i="1" l="1"/>
  <c r="H208" i="1"/>
  <c r="I209" i="1" l="1"/>
  <c r="H209" i="1"/>
  <c r="I210" i="1" l="1"/>
  <c r="H211" i="1" s="1"/>
  <c r="I211" i="1" s="1"/>
  <c r="H210" i="1"/>
  <c r="I212" i="1" l="1"/>
  <c r="H212" i="1"/>
  <c r="I213" i="1" l="1"/>
  <c r="H213" i="1"/>
  <c r="I214" i="1" l="1"/>
  <c r="H214" i="1"/>
  <c r="H215" i="1" l="1"/>
  <c r="I215" i="1"/>
  <c r="I216" i="1" l="1"/>
  <c r="H216" i="1"/>
  <c r="I217" i="1" l="1"/>
  <c r="H217" i="1"/>
  <c r="I218" i="1" l="1"/>
  <c r="H218" i="1"/>
  <c r="I219" i="1" l="1"/>
  <c r="H219" i="1"/>
  <c r="I220" i="1" l="1"/>
  <c r="H220" i="1"/>
  <c r="H221" i="1" l="1"/>
  <c r="I221" i="1"/>
  <c r="I222" i="1" l="1"/>
  <c r="H223" i="1" s="1"/>
  <c r="I223" i="1" s="1"/>
  <c r="H222" i="1"/>
  <c r="I224" i="1" l="1"/>
  <c r="H224" i="1"/>
  <c r="I225" i="1" l="1"/>
  <c r="H225" i="1"/>
  <c r="I226" i="1" l="1"/>
  <c r="H226" i="1"/>
  <c r="I227" i="1" l="1"/>
  <c r="H227" i="1"/>
  <c r="I228" i="1" l="1"/>
  <c r="H228" i="1"/>
  <c r="H229" i="1" l="1"/>
  <c r="I229" i="1"/>
  <c r="I230" i="1" l="1"/>
  <c r="H231" i="1" s="1"/>
  <c r="I231" i="1" s="1"/>
  <c r="H230" i="1"/>
  <c r="H232" i="1" l="1"/>
  <c r="I232" i="1"/>
  <c r="I233" i="1" l="1"/>
  <c r="H233" i="1"/>
  <c r="I234" i="1" l="1"/>
  <c r="H234" i="1"/>
  <c r="I235" i="1" l="1"/>
  <c r="H235" i="1"/>
  <c r="I236" i="1" l="1"/>
  <c r="H236" i="1"/>
  <c r="H237" i="1" l="1"/>
  <c r="I237" i="1"/>
  <c r="I238" i="1" l="1"/>
  <c r="H239" i="1" s="1"/>
  <c r="I239" i="1" s="1"/>
  <c r="H238" i="1"/>
  <c r="I240" i="1" l="1"/>
  <c r="H240" i="1"/>
  <c r="I241" i="1" l="1"/>
  <c r="H241" i="1"/>
  <c r="I242" i="1" l="1"/>
  <c r="H242" i="1"/>
  <c r="I243" i="1" l="1"/>
  <c r="H243" i="1"/>
  <c r="I244" i="1" l="1"/>
  <c r="H244" i="1"/>
  <c r="H245" i="1" l="1"/>
  <c r="I245" i="1"/>
  <c r="I246" i="1" l="1"/>
  <c r="H247" i="1" s="1"/>
  <c r="I247" i="1" s="1"/>
  <c r="H246" i="1"/>
  <c r="I248" i="1" l="1"/>
  <c r="H248" i="1"/>
  <c r="I249" i="1" l="1"/>
  <c r="H249" i="1"/>
  <c r="I250" i="1" l="1"/>
  <c r="H250" i="1"/>
  <c r="I251" i="1" l="1"/>
  <c r="H251" i="1"/>
  <c r="I252" i="1" l="1"/>
  <c r="H252" i="1"/>
  <c r="H253" i="1" l="1"/>
  <c r="I253" i="1"/>
  <c r="I254" i="1" l="1"/>
  <c r="H254" i="1"/>
  <c r="H255" i="1" l="1"/>
  <c r="I255" i="1"/>
  <c r="I256" i="1" l="1"/>
  <c r="H256" i="1"/>
  <c r="I257" i="1" l="1"/>
  <c r="H257" i="1"/>
  <c r="I258" i="1" l="1"/>
  <c r="H259" i="1" s="1"/>
  <c r="I259" i="1" s="1"/>
  <c r="H258" i="1"/>
  <c r="I260" i="1" l="1"/>
  <c r="H260" i="1"/>
  <c r="I261" i="1" l="1"/>
  <c r="H261" i="1"/>
  <c r="I262" i="1" l="1"/>
  <c r="H262" i="1"/>
  <c r="H263" i="1" l="1"/>
  <c r="I263" i="1"/>
  <c r="H264" i="1" l="1"/>
  <c r="I264" i="1"/>
  <c r="H265" i="1" s="1"/>
  <c r="I265" i="1" s="1"/>
  <c r="I266" i="1" l="1"/>
  <c r="H266" i="1"/>
  <c r="I267" i="1" l="1"/>
  <c r="H267" i="1"/>
  <c r="I268" i="1" l="1"/>
  <c r="H269" i="1" s="1"/>
  <c r="I269" i="1" s="1"/>
  <c r="H268" i="1"/>
  <c r="I270" i="1" l="1"/>
  <c r="H270" i="1"/>
  <c r="I271" i="1" l="1"/>
  <c r="H271" i="1"/>
  <c r="I272" i="1" l="1"/>
  <c r="H273" i="1" s="1"/>
  <c r="I273" i="1" s="1"/>
  <c r="H272" i="1"/>
  <c r="I274" i="1" l="1"/>
  <c r="H274" i="1"/>
  <c r="H275" i="1" l="1"/>
  <c r="I275" i="1"/>
  <c r="I276" i="1" l="1"/>
  <c r="H277" i="1" s="1"/>
  <c r="I277" i="1" s="1"/>
  <c r="H276" i="1"/>
  <c r="I278" i="1" l="1"/>
  <c r="H278" i="1"/>
  <c r="I279" i="1" l="1"/>
  <c r="H279" i="1"/>
  <c r="I280" i="1" l="1"/>
  <c r="H280" i="1"/>
  <c r="I281" i="1" l="1"/>
  <c r="H281" i="1"/>
  <c r="I282" i="1" l="1"/>
  <c r="H282" i="1"/>
  <c r="H283" i="1" l="1"/>
  <c r="I283" i="1"/>
  <c r="H284" i="1" s="1"/>
  <c r="I284" i="1" s="1"/>
  <c r="H285" i="1" l="1"/>
  <c r="I285" i="1"/>
  <c r="H286" i="1" l="1"/>
  <c r="I286" i="1"/>
  <c r="I287" i="1" l="1"/>
  <c r="H288" i="1" s="1"/>
  <c r="I288" i="1" s="1"/>
  <c r="H287" i="1"/>
  <c r="I289" i="1" l="1"/>
  <c r="H289" i="1"/>
  <c r="I290" i="1" l="1"/>
  <c r="H290" i="1"/>
  <c r="I291" i="1" l="1"/>
  <c r="H292" i="1" s="1"/>
  <c r="I292" i="1" s="1"/>
  <c r="H291" i="1"/>
  <c r="I293" i="1" l="1"/>
  <c r="H293" i="1"/>
  <c r="I294" i="1" l="1"/>
  <c r="H294" i="1"/>
  <c r="I295" i="1" l="1"/>
  <c r="H296" i="1" s="1"/>
  <c r="I296" i="1" s="1"/>
  <c r="H295" i="1"/>
  <c r="I297" i="1" l="1"/>
  <c r="H297" i="1"/>
  <c r="I298" i="1" l="1"/>
  <c r="H298" i="1"/>
  <c r="I299" i="1" l="1"/>
  <c r="H300" i="1" s="1"/>
  <c r="I300" i="1" s="1"/>
  <c r="H299" i="1"/>
  <c r="I301" i="1" l="1"/>
  <c r="H301" i="1"/>
  <c r="I302" i="1" l="1"/>
  <c r="H302" i="1"/>
  <c r="I303" i="1" l="1"/>
  <c r="H304" i="1" s="1"/>
  <c r="I304" i="1" s="1"/>
  <c r="H303" i="1"/>
  <c r="I305" i="1" l="1"/>
  <c r="H305" i="1"/>
  <c r="I306" i="1" l="1"/>
  <c r="H306" i="1"/>
  <c r="I307" i="1" l="1"/>
  <c r="H307" i="1"/>
  <c r="I308" i="1" l="1"/>
  <c r="H308" i="1"/>
  <c r="I309" i="1" l="1"/>
  <c r="H309" i="1"/>
  <c r="H310" i="1" l="1"/>
  <c r="I310" i="1"/>
  <c r="I311" i="1" l="1"/>
  <c r="H311" i="1"/>
  <c r="H312" i="1" l="1"/>
  <c r="I312" i="1"/>
  <c r="I313" i="1" l="1"/>
  <c r="H313" i="1"/>
  <c r="I314" i="1" l="1"/>
  <c r="H314" i="1"/>
  <c r="I315" i="1" l="1"/>
  <c r="H315" i="1"/>
  <c r="I316" i="1" l="1"/>
  <c r="H317" i="1" s="1"/>
  <c r="I317" i="1" s="1"/>
  <c r="H316" i="1"/>
  <c r="I318" i="1" l="1"/>
  <c r="H318" i="1"/>
  <c r="I319" i="1" l="1"/>
  <c r="H319" i="1"/>
  <c r="I320" i="1" l="1"/>
  <c r="H320" i="1"/>
  <c r="H321" i="1" l="1"/>
  <c r="I321" i="1"/>
  <c r="H322" i="1" s="1"/>
  <c r="I322" i="1" s="1"/>
  <c r="H323" i="1" l="1"/>
  <c r="I323" i="1"/>
  <c r="I324" i="1" l="1"/>
  <c r="H324" i="1"/>
  <c r="I325" i="1" l="1"/>
  <c r="H325" i="1"/>
  <c r="I326" i="1" l="1"/>
  <c r="H327" i="1" s="1"/>
  <c r="I327" i="1" s="1"/>
  <c r="H326" i="1"/>
  <c r="I328" i="1" l="1"/>
  <c r="H328" i="1"/>
  <c r="I329" i="1" l="1"/>
  <c r="H329" i="1"/>
  <c r="I330" i="1" l="1"/>
  <c r="H330" i="1"/>
  <c r="I331" i="1" l="1"/>
  <c r="H331" i="1"/>
  <c r="I332" i="1" l="1"/>
  <c r="H332" i="1"/>
  <c r="I333" i="1" l="1"/>
  <c r="H333" i="1"/>
  <c r="I334" i="1" l="1"/>
  <c r="H335" i="1" s="1"/>
  <c r="I335" i="1" s="1"/>
  <c r="H334" i="1"/>
  <c r="I336" i="1" l="1"/>
  <c r="H336" i="1"/>
  <c r="I337" i="1" l="1"/>
  <c r="H337" i="1"/>
  <c r="I338" i="1" l="1"/>
  <c r="H338" i="1"/>
  <c r="I339" i="1" l="1"/>
  <c r="H339" i="1"/>
  <c r="I340" i="1" l="1"/>
  <c r="H341" i="1" s="1"/>
  <c r="I341" i="1" s="1"/>
  <c r="H340" i="1"/>
  <c r="I342" i="1" l="1"/>
  <c r="H342" i="1"/>
  <c r="I343" i="1" l="1"/>
  <c r="H343" i="1"/>
  <c r="I344" i="1" l="1"/>
  <c r="H344" i="1"/>
  <c r="I345" i="1" l="1"/>
  <c r="H345" i="1"/>
  <c r="I346" i="1" l="1"/>
  <c r="H346" i="1"/>
  <c r="I347" i="1" l="1"/>
  <c r="H348" i="1" s="1"/>
  <c r="I348" i="1" s="1"/>
  <c r="H347" i="1"/>
  <c r="I349" i="1" l="1"/>
  <c r="H349" i="1"/>
  <c r="I350" i="1" l="1"/>
  <c r="H350" i="1"/>
  <c r="H351" i="1" l="1"/>
  <c r="I351" i="1"/>
  <c r="I352" i="1" l="1"/>
  <c r="H352" i="1"/>
  <c r="I353" i="1" l="1"/>
  <c r="H353" i="1"/>
  <c r="I354" i="1" l="1"/>
  <c r="H355" i="1" s="1"/>
  <c r="I355" i="1" s="1"/>
  <c r="H354" i="1"/>
  <c r="I356" i="1" l="1"/>
  <c r="H356" i="1"/>
  <c r="H357" i="1" l="1"/>
  <c r="I357" i="1"/>
  <c r="I358" i="1" l="1"/>
  <c r="H358" i="1"/>
  <c r="I359" i="1" l="1"/>
  <c r="H359" i="1"/>
  <c r="I360" i="1" l="1"/>
  <c r="H361" i="1" s="1"/>
  <c r="I361" i="1" s="1"/>
  <c r="H360" i="1"/>
  <c r="I362" i="1" l="1"/>
  <c r="H362" i="1"/>
  <c r="I363" i="1" l="1"/>
  <c r="H363" i="1"/>
  <c r="I364" i="1" l="1"/>
  <c r="H364" i="1"/>
  <c r="I365" i="1" l="1"/>
  <c r="H365" i="1"/>
  <c r="H366" i="1" l="1"/>
  <c r="I366" i="1"/>
  <c r="H367" i="1" l="1"/>
  <c r="I367" i="1"/>
  <c r="H368" i="1" s="1"/>
  <c r="I368" i="1" s="1"/>
  <c r="H369" i="1" l="1"/>
  <c r="I369" i="1"/>
  <c r="I370" i="1" l="1"/>
  <c r="H370" i="1"/>
  <c r="H371" i="1" l="1"/>
  <c r="I371" i="1"/>
  <c r="I372" i="1" l="1"/>
  <c r="H373" i="1" s="1"/>
  <c r="I373" i="1" s="1"/>
  <c r="H372" i="1"/>
  <c r="I374" i="1" l="1"/>
  <c r="H374" i="1"/>
  <c r="I375" i="1" l="1"/>
  <c r="H375" i="1"/>
  <c r="I376" i="1" l="1"/>
  <c r="H376" i="1"/>
  <c r="I377" i="1" l="1"/>
  <c r="H378" i="1" s="1"/>
  <c r="I378" i="1" s="1"/>
  <c r="H377" i="1"/>
  <c r="I379" i="1" l="1"/>
  <c r="H379" i="1"/>
  <c r="I380" i="1" l="1"/>
  <c r="H380" i="1"/>
  <c r="I381" i="1" l="1"/>
  <c r="H381" i="1"/>
  <c r="I382" i="1" l="1"/>
  <c r="H382" i="1"/>
  <c r="I383" i="1" l="1"/>
  <c r="H384" i="1" s="1"/>
  <c r="I384" i="1" s="1"/>
  <c r="H383" i="1"/>
  <c r="I385" i="1" l="1"/>
  <c r="H385" i="1"/>
  <c r="H386" i="1" l="1"/>
  <c r="I386" i="1"/>
  <c r="H387" i="1" l="1"/>
  <c r="I387" i="1"/>
  <c r="I388" i="1" l="1"/>
  <c r="H388" i="1"/>
  <c r="I389" i="1" l="1"/>
  <c r="H389" i="1"/>
  <c r="I390" i="1" l="1"/>
  <c r="H391" i="1" s="1"/>
  <c r="I391" i="1" s="1"/>
  <c r="H390" i="1"/>
  <c r="I392" i="1" l="1"/>
  <c r="H392" i="1"/>
  <c r="I393" i="1" l="1"/>
  <c r="H393" i="1"/>
  <c r="I394" i="1" l="1"/>
  <c r="H394" i="1"/>
  <c r="I395" i="1" l="1"/>
  <c r="H396" i="1" s="1"/>
  <c r="I396" i="1" s="1"/>
  <c r="H395" i="1"/>
  <c r="I397" i="1" l="1"/>
  <c r="H397" i="1"/>
  <c r="I398" i="1" l="1"/>
  <c r="H398" i="1"/>
  <c r="I399" i="1" l="1"/>
  <c r="H399" i="1"/>
  <c r="I400" i="1" l="1"/>
  <c r="H401" i="1" s="1"/>
  <c r="I401" i="1" s="1"/>
  <c r="H400" i="1"/>
  <c r="I402" i="1" l="1"/>
  <c r="H402" i="1"/>
  <c r="I403" i="1" l="1"/>
  <c r="H403" i="1"/>
  <c r="H404" i="1" l="1"/>
  <c r="I404" i="1"/>
  <c r="I405" i="1" l="1"/>
  <c r="H405" i="1"/>
  <c r="H406" i="1" l="1"/>
  <c r="I406" i="1"/>
  <c r="H407" i="1" s="1"/>
  <c r="I407" i="1" s="1"/>
  <c r="I408" i="1" l="1"/>
  <c r="H409" i="1" s="1"/>
  <c r="I409" i="1" s="1"/>
  <c r="H408" i="1"/>
  <c r="I410" i="1" l="1"/>
  <c r="H411" i="1" s="1"/>
  <c r="I411" i="1" s="1"/>
  <c r="H410" i="1"/>
  <c r="H412" i="1" l="1"/>
  <c r="I412" i="1"/>
  <c r="I413" i="1" l="1"/>
  <c r="H413" i="1"/>
  <c r="H414" i="1" l="1"/>
  <c r="I414" i="1"/>
  <c r="H415" i="1" s="1"/>
  <c r="I415" i="1" s="1"/>
  <c r="H416" i="1" l="1"/>
  <c r="I416" i="1"/>
  <c r="I417" i="1" l="1"/>
  <c r="H417" i="1"/>
  <c r="H418" i="1" l="1"/>
  <c r="I418" i="1"/>
  <c r="I419" i="1" l="1"/>
  <c r="H420" i="1" s="1"/>
  <c r="I420" i="1" s="1"/>
  <c r="H419" i="1"/>
  <c r="I421" i="1" l="1"/>
  <c r="H421" i="1"/>
  <c r="H422" i="1" l="1"/>
  <c r="I422" i="1"/>
  <c r="I423" i="1" l="1"/>
  <c r="H424" i="1" s="1"/>
  <c r="I424" i="1" s="1"/>
  <c r="H423" i="1"/>
  <c r="I425" i="1" l="1"/>
  <c r="H425" i="1"/>
  <c r="I426" i="1" l="1"/>
  <c r="H426" i="1"/>
  <c r="I427" i="1" l="1"/>
  <c r="H427" i="1"/>
  <c r="I428" i="1" l="1"/>
  <c r="H428" i="1"/>
  <c r="I429" i="1" l="1"/>
  <c r="H430" i="1" s="1"/>
  <c r="I430" i="1" s="1"/>
  <c r="H429" i="1"/>
  <c r="I431" i="1" l="1"/>
  <c r="H431" i="1"/>
  <c r="H432" i="1" l="1"/>
  <c r="I432" i="1"/>
  <c r="I433" i="1" l="1"/>
  <c r="H433" i="1"/>
  <c r="H434" i="1" l="1"/>
  <c r="I434" i="1"/>
  <c r="I435" i="1" l="1"/>
  <c r="H436" i="1" s="1"/>
  <c r="I436" i="1" s="1"/>
  <c r="H435" i="1"/>
  <c r="I437" i="1" l="1"/>
  <c r="H437" i="1"/>
  <c r="H438" i="1" l="1"/>
  <c r="I438" i="1"/>
  <c r="I439" i="1" l="1"/>
  <c r="H439" i="1"/>
  <c r="H440" i="1" l="1"/>
  <c r="I440" i="1"/>
  <c r="I441" i="1" l="1"/>
  <c r="H442" i="1" s="1"/>
  <c r="I442" i="1" s="1"/>
  <c r="H441" i="1"/>
  <c r="I443" i="1" l="1"/>
  <c r="H443" i="1"/>
  <c r="H444" i="1" l="1"/>
  <c r="I444" i="1"/>
  <c r="I445" i="1" l="1"/>
  <c r="H445" i="1"/>
  <c r="I446" i="1" l="1"/>
  <c r="H446" i="1"/>
  <c r="I447" i="1" l="1"/>
  <c r="H448" i="1" s="1"/>
  <c r="I448" i="1" s="1"/>
  <c r="H447" i="1"/>
  <c r="I449" i="1" l="1"/>
  <c r="H449" i="1"/>
  <c r="H450" i="1" l="1"/>
  <c r="I450" i="1"/>
  <c r="I451" i="1" l="1"/>
  <c r="H451" i="1"/>
  <c r="I452" i="1" l="1"/>
  <c r="H452" i="1"/>
  <c r="I453" i="1" l="1"/>
  <c r="H454" i="1" s="1"/>
  <c r="I454" i="1" s="1"/>
  <c r="H453" i="1"/>
  <c r="I455" i="1" l="1"/>
  <c r="H455" i="1"/>
  <c r="I456" i="1" l="1"/>
  <c r="H456" i="1"/>
  <c r="I457" i="1" l="1"/>
  <c r="H457" i="1"/>
  <c r="H458" i="1" l="1"/>
  <c r="I458" i="1"/>
  <c r="I459" i="1" l="1"/>
  <c r="H460" i="1" s="1"/>
  <c r="I460" i="1" s="1"/>
  <c r="H459" i="1"/>
  <c r="I461" i="1" l="1"/>
  <c r="H461" i="1"/>
  <c r="H462" i="1" l="1"/>
  <c r="I462" i="1"/>
  <c r="I463" i="1" l="1"/>
  <c r="H463" i="1"/>
  <c r="I464" i="1" l="1"/>
  <c r="H464" i="1"/>
  <c r="I465" i="1" l="1"/>
  <c r="H466" i="1" s="1"/>
  <c r="I466" i="1" s="1"/>
  <c r="H465" i="1"/>
  <c r="I467" i="1" l="1"/>
  <c r="H467" i="1"/>
  <c r="I468" i="1" l="1"/>
  <c r="H468" i="1"/>
  <c r="I469" i="1" l="1"/>
  <c r="H469" i="1"/>
  <c r="H470" i="1" l="1"/>
  <c r="I470" i="1"/>
  <c r="H471" i="1" l="1"/>
  <c r="I471" i="1"/>
  <c r="H472" i="1" l="1"/>
  <c r="I472" i="1"/>
  <c r="H473" i="1" l="1"/>
  <c r="I473" i="1"/>
  <c r="I474" i="1" l="1"/>
  <c r="H474" i="1"/>
  <c r="I475" i="1" l="1"/>
  <c r="H475" i="1"/>
  <c r="I476" i="1" l="1"/>
  <c r="H477" i="1" s="1"/>
  <c r="I477" i="1" s="1"/>
  <c r="H476" i="1"/>
  <c r="I478" i="1" l="1"/>
  <c r="H478" i="1"/>
  <c r="I479" i="1" l="1"/>
  <c r="H479" i="1"/>
  <c r="I480" i="1" l="1"/>
  <c r="H481" i="1" s="1"/>
  <c r="I481" i="1" s="1"/>
  <c r="H480" i="1"/>
  <c r="I482" i="1" l="1"/>
  <c r="H482" i="1"/>
  <c r="I483" i="1" l="1"/>
  <c r="H483" i="1"/>
  <c r="H484" i="1" l="1"/>
  <c r="I484" i="1"/>
  <c r="H485" i="1" s="1"/>
  <c r="I485" i="1" s="1"/>
  <c r="H486" i="1" l="1"/>
  <c r="I486" i="1"/>
  <c r="I487" i="1" l="1"/>
  <c r="H487" i="1"/>
  <c r="I488" i="1" l="1"/>
  <c r="H488" i="1"/>
  <c r="I489" i="1" l="1"/>
  <c r="H490" i="1" s="1"/>
  <c r="I490" i="1" s="1"/>
  <c r="H489" i="1"/>
  <c r="I491" i="1" l="1"/>
  <c r="H491" i="1"/>
  <c r="I492" i="1" l="1"/>
  <c r="H492" i="1"/>
  <c r="I493" i="1" l="1"/>
  <c r="H493" i="1"/>
  <c r="I494" i="1" l="1"/>
  <c r="H494" i="1"/>
  <c r="H495" i="1" l="1"/>
  <c r="I495" i="1"/>
  <c r="I496" i="1" l="1"/>
  <c r="H496" i="1"/>
  <c r="H497" i="1" l="1"/>
  <c r="I497" i="1"/>
  <c r="I498" i="1" l="1"/>
  <c r="H498" i="1"/>
  <c r="I499" i="1" l="1"/>
  <c r="H499" i="1"/>
  <c r="I500" i="1" l="1"/>
  <c r="H500" i="1"/>
  <c r="H501" i="1" l="1"/>
  <c r="I501" i="1"/>
  <c r="I502" i="1" l="1"/>
  <c r="H502" i="1"/>
  <c r="I503" i="1" l="1"/>
  <c r="H504" i="1" s="1"/>
  <c r="I504" i="1" s="1"/>
  <c r="H503" i="1"/>
  <c r="H505" i="1" l="1"/>
  <c r="I505" i="1"/>
  <c r="I506" i="1" l="1"/>
  <c r="H506" i="1"/>
  <c r="I507" i="1" l="1"/>
  <c r="H507" i="1"/>
  <c r="H508" i="1" l="1"/>
  <c r="I508" i="1"/>
  <c r="I509" i="1" l="1"/>
  <c r="H510" i="1" s="1"/>
  <c r="I510" i="1" s="1"/>
  <c r="H509" i="1"/>
  <c r="I511" i="1" l="1"/>
  <c r="H511" i="1"/>
  <c r="I512" i="1" l="1"/>
  <c r="H512" i="1"/>
  <c r="I513" i="1" l="1"/>
  <c r="H513" i="1"/>
  <c r="I514" i="1" l="1"/>
  <c r="H514" i="1"/>
  <c r="I515" i="1" l="1"/>
  <c r="H516" i="1" s="1"/>
  <c r="I516" i="1" s="1"/>
  <c r="H515" i="1"/>
  <c r="I517" i="1" l="1"/>
  <c r="H517" i="1"/>
  <c r="I518" i="1" l="1"/>
  <c r="H518" i="1"/>
  <c r="H519" i="1" l="1"/>
  <c r="I519" i="1"/>
  <c r="I520" i="1" l="1"/>
  <c r="H520" i="1"/>
  <c r="H521" i="1" l="1"/>
  <c r="I521" i="1"/>
  <c r="H522" i="1" s="1"/>
  <c r="I522" i="1" s="1"/>
  <c r="I523" i="1" l="1"/>
  <c r="H523" i="1"/>
  <c r="I524" i="1" l="1"/>
  <c r="H524" i="1"/>
  <c r="I525" i="1" l="1"/>
  <c r="H525" i="1"/>
  <c r="I526" i="1" l="1"/>
  <c r="H526" i="1"/>
  <c r="I527" i="1" l="1"/>
  <c r="H527" i="1"/>
  <c r="I528" i="1" l="1"/>
  <c r="H528" i="1"/>
  <c r="I529" i="1" l="1"/>
  <c r="H530" i="1" s="1"/>
  <c r="I530" i="1" s="1"/>
  <c r="H529" i="1"/>
  <c r="I531" i="1" l="1"/>
  <c r="H531" i="1"/>
  <c r="H532" i="1" l="1"/>
  <c r="I532" i="1"/>
  <c r="I533" i="1" l="1"/>
  <c r="H534" i="1" s="1"/>
  <c r="I534" i="1" s="1"/>
  <c r="H533" i="1"/>
  <c r="I535" i="1" l="1"/>
  <c r="H535" i="1"/>
  <c r="I536" i="1" l="1"/>
  <c r="H536" i="1"/>
  <c r="I537" i="1" l="1"/>
  <c r="H538" i="1" s="1"/>
  <c r="I538" i="1" s="1"/>
  <c r="H537" i="1"/>
  <c r="I539" i="1" l="1"/>
  <c r="H539" i="1"/>
  <c r="I540" i="1" l="1"/>
  <c r="H540" i="1"/>
  <c r="H541" i="1" l="1"/>
  <c r="I541" i="1"/>
  <c r="I542" i="1" l="1"/>
  <c r="H542" i="1"/>
  <c r="H543" i="1" l="1"/>
  <c r="I543" i="1"/>
  <c r="H544" i="1" s="1"/>
  <c r="I544" i="1" s="1"/>
  <c r="H545" i="1" l="1"/>
  <c r="I545" i="1"/>
  <c r="I546" i="1" l="1"/>
  <c r="H546" i="1"/>
  <c r="I547" i="1" l="1"/>
  <c r="H547" i="1"/>
  <c r="I548" i="1" l="1"/>
  <c r="H548" i="1"/>
  <c r="I549" i="1" l="1"/>
  <c r="H549" i="1"/>
  <c r="H550" i="1" l="1"/>
  <c r="I550" i="1"/>
  <c r="H551" i="1" s="1"/>
  <c r="I551" i="1" s="1"/>
  <c r="H552" i="1" l="1"/>
  <c r="I552" i="1"/>
  <c r="I553" i="1" l="1"/>
  <c r="H553" i="1"/>
  <c r="I554" i="1" l="1"/>
  <c r="H554" i="1"/>
  <c r="I555" i="1" l="1"/>
  <c r="H555" i="1"/>
  <c r="I556" i="1" l="1"/>
  <c r="H557" i="1" s="1"/>
  <c r="I557" i="1" s="1"/>
  <c r="H556" i="1"/>
  <c r="I558" i="1" l="1"/>
  <c r="H558" i="1"/>
  <c r="I559" i="1" l="1"/>
  <c r="H559" i="1"/>
  <c r="I560" i="1" l="1"/>
  <c r="H560" i="1"/>
  <c r="H561" i="1" l="1"/>
  <c r="I561" i="1"/>
  <c r="I562" i="1" l="1"/>
  <c r="H562" i="1"/>
  <c r="I563" i="1" l="1"/>
  <c r="H563" i="1"/>
  <c r="I564" i="1" l="1"/>
  <c r="H564" i="1"/>
  <c r="I565" i="1" l="1"/>
  <c r="H565" i="1"/>
  <c r="I566" i="1" l="1"/>
  <c r="H566" i="1"/>
  <c r="I567" i="1" l="1"/>
  <c r="H567" i="1"/>
  <c r="H568" i="1" l="1"/>
  <c r="I568" i="1"/>
  <c r="I569" i="1" l="1"/>
  <c r="H569" i="1"/>
</calcChain>
</file>

<file path=xl/sharedStrings.xml><?xml version="1.0" encoding="utf-8"?>
<sst xmlns="http://schemas.openxmlformats.org/spreadsheetml/2006/main" count="5419" uniqueCount="691">
  <si>
    <t>EDT</t>
  </si>
  <si>
    <t>Columna1</t>
  </si>
  <si>
    <t>Actividad</t>
  </si>
  <si>
    <t>Etapa</t>
  </si>
  <si>
    <t>face</t>
  </si>
  <si>
    <t>Tipo</t>
  </si>
  <si>
    <t>plantilla/producto</t>
  </si>
  <si>
    <t>Inicio ideal</t>
  </si>
  <si>
    <t>Fin ideal</t>
  </si>
  <si>
    <t>Duracion ideal (dia)</t>
  </si>
  <si>
    <t>Inicio Real</t>
  </si>
  <si>
    <t>Fin Real</t>
  </si>
  <si>
    <t>Duracion Real (dia)</t>
  </si>
  <si>
    <t>Responsable</t>
  </si>
  <si>
    <t>Gastos ideal</t>
  </si>
  <si>
    <t>Sueldos por dia Ideal</t>
  </si>
  <si>
    <t>Total ideal</t>
  </si>
  <si>
    <t>Gasto Real</t>
  </si>
  <si>
    <t>Sueldos por dia Real</t>
  </si>
  <si>
    <t>Total Real</t>
  </si>
  <si>
    <t>N° act</t>
  </si>
  <si>
    <t>PYME CLOUD MÉXICO</t>
  </si>
  <si>
    <t>-</t>
  </si>
  <si>
    <t>INICIO</t>
  </si>
  <si>
    <t>inicio</t>
  </si>
  <si>
    <t>Inicio</t>
  </si>
  <si>
    <t>etapa</t>
  </si>
  <si>
    <t>1.1</t>
  </si>
  <si>
    <t>DOCUMENTACIÓN ETAPA DE INICIO</t>
  </si>
  <si>
    <t>docuementacion</t>
  </si>
  <si>
    <t>1.1.1</t>
  </si>
  <si>
    <t>Análisis de factibilidad</t>
  </si>
  <si>
    <t>plantilla</t>
  </si>
  <si>
    <t>Ruiz Dominguez Abdiel Efrain</t>
  </si>
  <si>
    <t>Definir el objetivo del análisis y el problema a resolver</t>
  </si>
  <si>
    <t/>
  </si>
  <si>
    <t>Recopilar información técnica, operativa y financiera del proyecto</t>
  </si>
  <si>
    <t>Identificar requerimientos funcionales y no funcionales preliminares</t>
  </si>
  <si>
    <t>Evaluar alternativas de solución posibles</t>
  </si>
  <si>
    <t>Analizar factibilidad técnica (tecnologías, recursos, infraestructura)</t>
  </si>
  <si>
    <t>Analizar factibilidad económica y financiera (costos, beneficios, ROI)</t>
  </si>
  <si>
    <t>Analizar factibilidad operativa (compatibilidad con procesos existentes)</t>
  </si>
  <si>
    <t>Analizar factibilidad legal y normativa (regulaciones, permisos, cumplimiento)</t>
  </si>
  <si>
    <t>Analizar factibilidad organizacional (capacidades internas, personal disponible)</t>
  </si>
  <si>
    <t>Evaluar riesgos asociados a cada alternativa</t>
  </si>
  <si>
    <t>Comparar alternativas y seleccionar la más viable</t>
  </si>
  <si>
    <t>Elaborar informe de factibilidad con conclusiones y recomendaciones</t>
  </si>
  <si>
    <t>Presentar el informe a los tomadores de decisión para aprobación</t>
  </si>
  <si>
    <t>1.1.2</t>
  </si>
  <si>
    <t>Acta de constitución del proyecto</t>
  </si>
  <si>
    <t>Definir propósito del proyecto</t>
  </si>
  <si>
    <t>Establecer objetivos generales y específicos</t>
  </si>
  <si>
    <t>Identificar al director del proyecto</t>
  </si>
  <si>
    <t>Establecer alcance preliminar</t>
  </si>
  <si>
    <t>Determinar presupuesto preliminar</t>
  </si>
  <si>
    <t>Definir cronograma preliminar</t>
  </si>
  <si>
    <t>Identificar restricciones y supuestos</t>
  </si>
  <si>
    <t>Obtener aprobación formal de inicio</t>
  </si>
  <si>
    <t>1.1.3</t>
  </si>
  <si>
    <t>Identificación de interesados</t>
  </si>
  <si>
    <t>Solís Espinosa Cristian Eduardo</t>
  </si>
  <si>
    <t>Identificar a todas las partes involucradas</t>
  </si>
  <si>
    <t>Analizar nivel de influencia e interés</t>
  </si>
  <si>
    <t>Clasificar interesados (internos/externos)</t>
  </si>
  <si>
    <t>Registrar información en un listado formal</t>
  </si>
  <si>
    <t>Definir expectativas y necesidades</t>
  </si>
  <si>
    <t>Analizar riesgos relacionados con interesados</t>
  </si>
  <si>
    <t>1.1.4</t>
  </si>
  <si>
    <t>Estrategia de gestión de interesados</t>
  </si>
  <si>
    <t>Morales Quiroz Daniel Alejandro</t>
  </si>
  <si>
    <t>Definir enfoques para cada grupo de interesado</t>
  </si>
  <si>
    <t>Establecer mecanismos de comunicación</t>
  </si>
  <si>
    <t>Determinar frecuencia de interacción</t>
  </si>
  <si>
    <t>Analizar impactos potenciales de cada interesado</t>
  </si>
  <si>
    <t>Crear un plan de participación</t>
  </si>
  <si>
    <t>Validar estrategia con el director del proyecto</t>
  </si>
  <si>
    <t>1.1.5</t>
  </si>
  <si>
    <t>Junta de entregable de inicio</t>
  </si>
  <si>
    <t>Presentar los documentos generados en la etapa</t>
  </si>
  <si>
    <t>Validar que cumplan los criterios de aceptación</t>
  </si>
  <si>
    <t>Registrar observaciones de los participantes</t>
  </si>
  <si>
    <t>Obtener aprobación formal del entregable</t>
  </si>
  <si>
    <t>Archivar evidencia de la junta</t>
  </si>
  <si>
    <t>1.2</t>
  </si>
  <si>
    <t>SEGUIMIENTO Y CONTROL ETAPA DE INICIO</t>
  </si>
  <si>
    <t>SEGUIMIENTO Y CONTROL</t>
  </si>
  <si>
    <t>1.2.1</t>
  </si>
  <si>
    <t>Solicitud de cambio</t>
  </si>
  <si>
    <t>Hernández Gabino Edson Saul</t>
  </si>
  <si>
    <t>Identificar necesidad del cambio</t>
  </si>
  <si>
    <t>Documentar el cambio solicitado</t>
  </si>
  <si>
    <t>Evaluar impacto</t>
  </si>
  <si>
    <t>Enviar a comité de control</t>
  </si>
  <si>
    <t>Aprobar o rechazar</t>
  </si>
  <si>
    <t>Implementar cambio aprobado</t>
  </si>
  <si>
    <t>1.2.2</t>
  </si>
  <si>
    <t>Informe de desempeño Nº1</t>
  </si>
  <si>
    <t>Recopilar información del progreso</t>
  </si>
  <si>
    <t>Analizar indicadores clave</t>
  </si>
  <si>
    <t>Comparar avance real vs planificado</t>
  </si>
  <si>
    <t>Elaborar informe</t>
  </si>
  <si>
    <t>Presentar resultados</t>
  </si>
  <si>
    <t>1.2.3</t>
  </si>
  <si>
    <t>Reunión de control de trabajo del proyecto</t>
  </si>
  <si>
    <t>Revisar avance semanal/mensual</t>
  </si>
  <si>
    <t>Identificar problemas</t>
  </si>
  <si>
    <t>Analizar riesgos activos</t>
  </si>
  <si>
    <t>Evaluar desviaciones</t>
  </si>
  <si>
    <t>Definir acciones correctivas</t>
  </si>
  <si>
    <t>1.3</t>
  </si>
  <si>
    <t>CIERRE ETAPA DE INICIO</t>
  </si>
  <si>
    <t>Cierre</t>
  </si>
  <si>
    <t>1.3.1</t>
  </si>
  <si>
    <t>Acta de cierre de la etapa de inicio</t>
  </si>
  <si>
    <t>Detallar actividades realizadas en la etapa</t>
  </si>
  <si>
    <t>Registrar cumplimiento de entregables</t>
  </si>
  <si>
    <t>Identificar desviaciones ocurridas</t>
  </si>
  <si>
    <t>Aprobar formalmente el cierre de la etapa</t>
  </si>
  <si>
    <t>Archivar documentación correspondiente</t>
  </si>
  <si>
    <t>PLANIFICACIÓN</t>
  </si>
  <si>
    <t>2.1</t>
  </si>
  <si>
    <t>DOCUMENTACIÓN ETAPA DE PLANIFICACIÓN</t>
  </si>
  <si>
    <t>2.1.1</t>
  </si>
  <si>
    <t>Plan de gestión de proyecto</t>
  </si>
  <si>
    <t>Definir metodología de trabajo</t>
  </si>
  <si>
    <t>Establecer estructura organizacional del proyecto</t>
  </si>
  <si>
    <t>Describir herramientas de gestión</t>
  </si>
  <si>
    <t>Definir criterios de éxito</t>
  </si>
  <si>
    <t>Establecer gobernanza del proyecto</t>
  </si>
  <si>
    <t>Aprobar el documento</t>
  </si>
  <si>
    <t>2.1.2</t>
  </si>
  <si>
    <t>Plan de gestión de cambios</t>
  </si>
  <si>
    <t>Definir proceso para solicitar cambios</t>
  </si>
  <si>
    <t>Establecer responsables de evaluar cambios</t>
  </si>
  <si>
    <t>Determinar criterios de rechazo y aprobación</t>
  </si>
  <si>
    <t>Crear formato oficial de solicitud</t>
  </si>
  <si>
    <t>Integrar procedimientos al plan general</t>
  </si>
  <si>
    <t>2.1.3</t>
  </si>
  <si>
    <t>Plan de gestión de configuración</t>
  </si>
  <si>
    <t>Definir elementos sujetos a control</t>
  </si>
  <si>
    <t>Establecer repositorios oficiales</t>
  </si>
  <si>
    <t>Determinar procesos de versiones y liberaciones</t>
  </si>
  <si>
    <t>Asignar responsables de cambios de configuración</t>
  </si>
  <si>
    <t>Documentar procedimientos y herramientas</t>
  </si>
  <si>
    <t>2.1.4</t>
  </si>
  <si>
    <t>Plan de gestión de requisitos</t>
  </si>
  <si>
    <t>Identificar métodos de levantamiento</t>
  </si>
  <si>
    <t>Definir validación y verificación de requisitos</t>
  </si>
  <si>
    <t>Establecer responsables del control de requisitos</t>
  </si>
  <si>
    <t>Determinar mecanismos de cambios</t>
  </si>
  <si>
    <t>Definir trazabilidad</t>
  </si>
  <si>
    <t>2.1.5</t>
  </si>
  <si>
    <t>Documentación de requisitos</t>
  </si>
  <si>
    <t>Registrar requisitos funcionales</t>
  </si>
  <si>
    <t>Registrar requisitos no funcionales</t>
  </si>
  <si>
    <t>Definir criterios de aceptación</t>
  </si>
  <si>
    <t>Validar requisitos con clientes y usuarios</t>
  </si>
  <si>
    <t>Asegurar claridad y completitud</t>
  </si>
  <si>
    <t>2.1.6</t>
  </si>
  <si>
    <t>Matriz de trazabilidad de requisitos</t>
  </si>
  <si>
    <t>Molina Chavarria Pablo</t>
  </si>
  <si>
    <t>Relacionar requisitos con entregables</t>
  </si>
  <si>
    <t>Vincular requisitos con pruebas</t>
  </si>
  <si>
    <t>Identificar responsables por requisito</t>
  </si>
  <si>
    <t>Registrar cambios en requisitos</t>
  </si>
  <si>
    <t>Mantener versión actualizada de la matriz</t>
  </si>
  <si>
    <t>2.1.7</t>
  </si>
  <si>
    <t>Plan de gestión de alcance</t>
  </si>
  <si>
    <t>Definir proceso para elaborar el alcance</t>
  </si>
  <si>
    <t>Establecer métodos de validación</t>
  </si>
  <si>
    <t>Definir control de cambios de alcance</t>
  </si>
  <si>
    <t>Determinar responsables</t>
  </si>
  <si>
    <t>Integrar al plan de proyecto</t>
  </si>
  <si>
    <t>2.1.8</t>
  </si>
  <si>
    <t>Declaración de alcance</t>
  </si>
  <si>
    <t>Describir entregables principales</t>
  </si>
  <si>
    <t>Registrar límites del proyecto</t>
  </si>
  <si>
    <t>Especificar exclusiones</t>
  </si>
  <si>
    <t>Establecer criterios de aceptación</t>
  </si>
  <si>
    <t>2.1.9</t>
  </si>
  <si>
    <t>Revisar el Acta de Constitución del Proyecto</t>
  </si>
  <si>
    <t>Identificar los Entregables Principales</t>
  </si>
  <si>
    <t>Dividir cada entregable en sub-entregables</t>
  </si>
  <si>
    <t>Descomponer hasta llegar a "paquetes de trabajo"</t>
  </si>
  <si>
    <t>Validar que la EDT cubre el 100% del alcance</t>
  </si>
  <si>
    <t>Identificar y codificar los paquetes de trabajo</t>
  </si>
  <si>
    <t>Validar la EDT con interesados clave</t>
  </si>
  <si>
    <t>Crear el Diccionario de la EDT</t>
  </si>
  <si>
    <t>Aprobar formalmente la EDT</t>
  </si>
  <si>
    <t>Actualizar la EDT si hay cambios aprobados</t>
  </si>
  <si>
    <t>2.1.10</t>
  </si>
  <si>
    <t>Diccionario EDT</t>
  </si>
  <si>
    <t>Describir cada paquete de trabajo</t>
  </si>
  <si>
    <t>Definir responsables</t>
  </si>
  <si>
    <t>Detallar recursos asociados</t>
  </si>
  <si>
    <t>2.1.11</t>
  </si>
  <si>
    <t>Plan de crecimiento y escalabilidad</t>
  </si>
  <si>
    <t>etapa producto</t>
  </si>
  <si>
    <t>Analizar la demanda actual y proyectada del sistema.</t>
  </si>
  <si>
    <t>Identificar métricas clave de crecimiento.</t>
  </si>
  <si>
    <t>Establecer escenarios de aumento de carga, usuarios y datos.</t>
  </si>
  <si>
    <t>Definir estrategias de ampliación de capacidad.</t>
  </si>
  <si>
    <t>Evaluar límites físicos, técnicos y financieros.</t>
  </si>
  <si>
    <t>Seleccionar tecnologías escalables.</t>
  </si>
  <si>
    <t>Documentar el plan con fases, recursos y costos estimados.</t>
  </si>
  <si>
    <t>2.1.12</t>
  </si>
  <si>
    <t>Planeación técnica</t>
  </si>
  <si>
    <t>2.1.12.1</t>
  </si>
  <si>
    <t>Diseño de la infraestructura del centro de datos</t>
  </si>
  <si>
    <t>producto</t>
  </si>
  <si>
    <t>Levantar requerimientos de capacidad, seguridad y disponibilidad.</t>
  </si>
  <si>
    <t>Analizar espacio físico y restricciones del sitio.</t>
  </si>
  <si>
    <t>Diseñar distribución general de infraestructura física.</t>
  </si>
  <si>
    <t>Definir equipos principales (racks, UPS, generadores).</t>
  </si>
  <si>
    <t>Planificar redundancias y tolerancia a fallos.</t>
  </si>
  <si>
    <t>Validar cumplimiento con normas de centros de datos.</t>
  </si>
  <si>
    <t>Elaborar los diagramas y documentación final.</t>
  </si>
  <si>
    <t>2.1.12.2</t>
  </si>
  <si>
    <t>Diseño arquitectónico del centro de datos</t>
  </si>
  <si>
    <t>Realizar análisis del espacio físico disponible.</t>
  </si>
  <si>
    <t>Diseñar la distribución de salas, pasillos y áreas técnicas.</t>
  </si>
  <si>
    <t>Establecer accesos, rutas de evacuación y zonas restringidas.</t>
  </si>
  <si>
    <t>Definir materiales de construcción adecuados.</t>
  </si>
  <si>
    <t>Considerar normatividad y certificaciones aplicables.</t>
  </si>
  <si>
    <t>Coordinar el diseño con ingeniería eléctrica y HVAC.</t>
  </si>
  <si>
    <t>Elaborar planos arquitectónicos finales.</t>
  </si>
  <si>
    <t>2.1.12.3</t>
  </si>
  <si>
    <t>Diseño de red y conectividad</t>
  </si>
  <si>
    <t>Identificar requerimientos de ancho de banda y tráfico.</t>
  </si>
  <si>
    <t>Diseñar la topología de red (LAN, WAN, redundancias).</t>
  </si>
  <si>
    <t>Seleccionar dispositivos de red (switches, routers, firewalls).</t>
  </si>
  <si>
    <t>Definir segmentación, VLANs y políticas de seguridad.</t>
  </si>
  <si>
    <t>Establecer rutas de conectividad externa e interna.</t>
  </si>
  <si>
    <t>Diseñar planes de contingencia y redundancia.</t>
  </si>
  <si>
    <t>Documentar diagramas lógicos y físicos de la red.</t>
  </si>
  <si>
    <t>2.1.12.4</t>
  </si>
  <si>
    <t>Diseño eléctrico y de energía redundante</t>
  </si>
  <si>
    <t>Calcular la carga eléctrica total del centro de datos.</t>
  </si>
  <si>
    <t>Diseñar la distribución eléctrica principal y secundaria.</t>
  </si>
  <si>
    <t>Seleccionar UPS, generadores y sistemas redundantes.</t>
  </si>
  <si>
    <t>Definir rutas y protecciones eléctricas.</t>
  </si>
  <si>
    <t>Establecer capacidad de expansión futura.</t>
  </si>
  <si>
    <t>Validar regulaciones eléctricas y certificaciones.</t>
  </si>
  <si>
    <t>Documentar planos y especificaciones eléctricas.</t>
  </si>
  <si>
    <t>2.1.12.5</t>
  </si>
  <si>
    <t>Diseño de climatización y control ambiental</t>
  </si>
  <si>
    <t>Determinar requerimientos térmicos por carga del equipo.</t>
  </si>
  <si>
    <t>Seleccionar sistemas HVAC adecuados para alta disponibilidad.</t>
  </si>
  <si>
    <t>Diseñar la distribución de aire frío y caliente.</t>
  </si>
  <si>
    <t>Integrar controles ambientales (temperatura, humedad).</t>
  </si>
  <si>
    <t>Implementar sensores y monitoreo permanente.</t>
  </si>
  <si>
    <t>Evaluar eficiencia energética y redundancia.</t>
  </si>
  <si>
    <t>Documentar especificaciones y diagramas HVAC.</t>
  </si>
  <si>
    <t>2.1.12.6</t>
  </si>
  <si>
    <t>Diseño de seguridad física y lógica</t>
  </si>
  <si>
    <t>Evaluar riesgos físicos y de acceso no autorizado.</t>
  </si>
  <si>
    <t>Definir controles físicos: cámaras, biometría, cerraduras.</t>
  </si>
  <si>
    <t>Diseñar políticas de acceso y zonas restringidas.</t>
  </si>
  <si>
    <t>Implementar seguridad lógica: firewalls, IDS/IPS.</t>
  </si>
  <si>
    <t>Integrar sistemas de monitoreo y alarmas.</t>
  </si>
  <si>
    <t>Definir procedimientos de respuesta a incidentes.</t>
  </si>
  <si>
    <t>Documentar políticas y diagramas de seguridad.</t>
  </si>
  <si>
    <t>2.1.12.7</t>
  </si>
  <si>
    <t>Diseño de replicación y sincronización de datos</t>
  </si>
  <si>
    <t>Analizar la criticidad de los datos y RTO/RPO requeridos.</t>
  </si>
  <si>
    <t>Seleccionar mecanismos de replicación (sincrónica/asíncrona).</t>
  </si>
  <si>
    <t>Diseñar arquitectura de almacenamiento y respaldos.</t>
  </si>
  <si>
    <t>Definir enlaces y anchos de banda necesarios.</t>
  </si>
  <si>
    <t>Establecer políticas de sincronización y retención.</t>
  </si>
  <si>
    <t>Probar la replicación y validar tiempos de recuperación.</t>
  </si>
  <si>
    <t>Documentar el diseño final de replicación.</t>
  </si>
  <si>
    <t>2.1.13</t>
  </si>
  <si>
    <t>Planeación de adquisiciones</t>
  </si>
  <si>
    <t>2.1.13.1</t>
  </si>
  <si>
    <t>Adquisición y contratación</t>
  </si>
  <si>
    <t>Preparar las especificaciones técnicas para proveedores.</t>
  </si>
  <si>
    <t>Solicitar propuestas y cotizaciones.</t>
  </si>
  <si>
    <t>Evaluar ofertas recibidas.</t>
  </si>
  <si>
    <t>2.1.13.2</t>
  </si>
  <si>
    <t>Seleccionar proveedores y negociar condiciones.</t>
  </si>
  <si>
    <t>Elaborar contratos y acuerdos de compra.</t>
  </si>
  <si>
    <t>Obtener aprobaciones legales y administrativas.</t>
  </si>
  <si>
    <t>Formalizar la adquisición.</t>
  </si>
  <si>
    <t>Selección de proveedores y contratistas</t>
  </si>
  <si>
    <t>Identificar proveedores potenciales.</t>
  </si>
  <si>
    <t>Solicitar información y validar antecedentes.</t>
  </si>
  <si>
    <t>Evaluar capacidades técnicas y financieras.</t>
  </si>
  <si>
    <t>Comparar propuestas técnicas y económicas.</t>
  </si>
  <si>
    <t>Realizar visitas o auditorías si aplica.</t>
  </si>
  <si>
    <t>Seleccionar al proveedor más adecuado.</t>
  </si>
  <si>
    <t>Documentar la decisión y justificación.</t>
  </si>
  <si>
    <t>2.1.13.3</t>
  </si>
  <si>
    <t>Cotización y compra de equipos</t>
  </si>
  <si>
    <t>Preparar lista detallada de equipos requeridos.</t>
  </si>
  <si>
    <t>Solicitar cotizaciones formales a proveedores.</t>
  </si>
  <si>
    <t>Evaluar costos, tiempos de entrega y garantías.</t>
  </si>
  <si>
    <t>Realizar negociaciones de precio y condiciones.</t>
  </si>
  <si>
    <t>Emitir orden de compra.</t>
  </si>
  <si>
    <t>Verificar entrega y condiciones de los equipos.</t>
  </si>
  <si>
    <t>Registrar la adquisición en inventarios y documentación.</t>
  </si>
  <si>
    <t>2.1.13.4</t>
  </si>
  <si>
    <t>Contratación de servicios especializados</t>
  </si>
  <si>
    <t>Identificar servicios necesarios (instalación, consultoría, soporte).</t>
  </si>
  <si>
    <t>Definir alcances, entregables y niveles de servicio.</t>
  </si>
  <si>
    <t>Solicitar propuestas técnicas y económicas.</t>
  </si>
  <si>
    <t>Evaluar experiencia y competencias del proveedor.</t>
  </si>
  <si>
    <t>Negociar tarifas y condiciones contractuales.</t>
  </si>
  <si>
    <t>Elaborar y firmar contrato.</t>
  </si>
  <si>
    <t>Monitorear el cumplimiento del servicio.</t>
  </si>
  <si>
    <t>2.1.13.5</t>
  </si>
  <si>
    <t>Licencias de software y sistemas operativos</t>
  </si>
  <si>
    <t>Identificar software requerido para el proyecto.</t>
  </si>
  <si>
    <t>Revisar tipos de licencia y modelos de suscripción.</t>
  </si>
  <si>
    <t>Solicitar cotizaciones a proveedores oficiales.</t>
  </si>
  <si>
    <t>Validar compatibilidad y requerimientos técnicos.</t>
  </si>
  <si>
    <t>Procesar la compra y activación de licencias.</t>
  </si>
  <si>
    <t>Documentar claves, versiones y vigencias.</t>
  </si>
  <si>
    <t>Registrar licencias en el sistema de gestión.</t>
  </si>
  <si>
    <t>2.1.13.6</t>
  </si>
  <si>
    <t>Contratos de mantenimiento y soporte</t>
  </si>
  <si>
    <t>Identificar equipos y sistemas que requieren soporte continuo.</t>
  </si>
  <si>
    <t>Evaluar proveedores certificados o autorizados.</t>
  </si>
  <si>
    <t>Definir niveles de servicio (SLA).</t>
  </si>
  <si>
    <t>Negociar términos, precios y tiempos de respuesta.</t>
  </si>
  <si>
    <t>Firmar el contrato correspondiente.</t>
  </si>
  <si>
    <t>Registrar y monitorear el cumplimiento del SLA.</t>
  </si>
  <si>
    <t>2.1.13.7</t>
  </si>
  <si>
    <t>Estimación de recursos</t>
  </si>
  <si>
    <t>Identificar recursos necesarios</t>
  </si>
  <si>
    <t>Estimar cantidades</t>
  </si>
  <si>
    <t>Asignar responsables</t>
  </si>
  <si>
    <t>Validar disponibilidad</t>
  </si>
  <si>
    <t>2.1.14</t>
  </si>
  <si>
    <t>Cronograma del proyecto</t>
  </si>
  <si>
    <t>Identificar actividades</t>
  </si>
  <si>
    <t>Secuenciar tareas</t>
  </si>
  <si>
    <t>Estimar duraciones</t>
  </si>
  <si>
    <t>Construir cronograma</t>
  </si>
  <si>
    <t>Establecer línea base</t>
  </si>
  <si>
    <t>2.1.15</t>
  </si>
  <si>
    <t>Diagrama de red</t>
  </si>
  <si>
    <t>Identificar dependencias</t>
  </si>
  <si>
    <t>Construir diagrama PERT/CPM</t>
  </si>
  <si>
    <t>Calcular ruta crítica</t>
  </si>
  <si>
    <t>2.1.16</t>
  </si>
  <si>
    <t>Presupuesto del proyecto</t>
  </si>
  <si>
    <t>Estimar costos por actividad</t>
  </si>
  <si>
    <t>Determinar costos indirectos</t>
  </si>
  <si>
    <t>Crear línea base de costos</t>
  </si>
  <si>
    <t>2.1.17</t>
  </si>
  <si>
    <t>Costos del proyecto</t>
  </si>
  <si>
    <t>Registrar costos estimados</t>
  </si>
  <si>
    <t>Identificar costos variables y fijos</t>
  </si>
  <si>
    <t>Validar con dirección financiera</t>
  </si>
  <si>
    <t>2.1.18</t>
  </si>
  <si>
    <t>Junta de entregable de planeación</t>
  </si>
  <si>
    <t>Revisar documentos de planeación</t>
  </si>
  <si>
    <t>Validar cumplimiento de estándares</t>
  </si>
  <si>
    <t>Aprobar entrega de planeación</t>
  </si>
  <si>
    <t>Actividades</t>
  </si>
  <si>
    <t>Identificar tareas necesarias</t>
  </si>
  <si>
    <t>Describir cada actividad</t>
  </si>
  <si>
    <t>2.1.19</t>
  </si>
  <si>
    <t>Secuencia de actividades</t>
  </si>
  <si>
    <t>Analizar dependencias</t>
  </si>
  <si>
    <t>Establecer orden lógico</t>
  </si>
  <si>
    <t>Registrar relaciones entre tareas</t>
  </si>
  <si>
    <t>2.1.20</t>
  </si>
  <si>
    <t>Recursos de las actividades</t>
  </si>
  <si>
    <t>Determinar recursos humanos</t>
  </si>
  <si>
    <t>Identificar materiales y equipos</t>
  </si>
  <si>
    <t>Asignar disponibilidad</t>
  </si>
  <si>
    <t>2.1.21</t>
  </si>
  <si>
    <t>Duración de las actividades</t>
  </si>
  <si>
    <t>Seleccionar técnica de estimación</t>
  </si>
  <si>
    <t>Calcular horas/días requeridos</t>
  </si>
  <si>
    <t>Validar con expertos</t>
  </si>
  <si>
    <t>2.1.22</t>
  </si>
  <si>
    <t>Diagrama de red del proyecto</t>
  </si>
  <si>
    <t>Representar secuencias de actividades</t>
  </si>
  <si>
    <t>Confirmar holguras</t>
  </si>
  <si>
    <t>PRESUPUESTO</t>
  </si>
  <si>
    <t>2.1.23</t>
  </si>
  <si>
    <t>Asignación de recursos</t>
  </si>
  <si>
    <t>Distribuir recursos disponibles</t>
  </si>
  <si>
    <t>Confirmar compatibilidad</t>
  </si>
  <si>
    <t>Ajustar sobreasignaciones</t>
  </si>
  <si>
    <t>2.1.24</t>
  </si>
  <si>
    <t>Costos de las actividades</t>
  </si>
  <si>
    <t>Identificar todas las actividades del proyecto.</t>
  </si>
  <si>
    <t>Determinar los recursos necesarios para cada actividad</t>
  </si>
  <si>
    <t>Estimar la cantidad de recursos requeridos</t>
  </si>
  <si>
    <t>Asignar un costo unitario a cada recurso</t>
  </si>
  <si>
    <t>Calcular el costo total por recurso en cada actividad</t>
  </si>
  <si>
    <t>Sumar los costos de todos los recursos utilizados en cada actividad</t>
  </si>
  <si>
    <t>Identificar costos directos e indirectos</t>
  </si>
  <si>
    <t>Aplicar costos indirectos según el método elegido</t>
  </si>
  <si>
    <t>Calcular el costo total del proyecto</t>
  </si>
  <si>
    <t>Revisar y validar los costos estimados con el equipo o expertos.</t>
  </si>
  <si>
    <t>Ajustar los costos según restricciones presupuestales y riesgos.</t>
  </si>
  <si>
    <t>Documentar los costos finales por actividad.</t>
  </si>
  <si>
    <t>2.1.25</t>
  </si>
  <si>
    <t>Junta de entregable de planificación</t>
  </si>
  <si>
    <t>Presentar avances de planeación</t>
  </si>
  <si>
    <t>Validar documentación final</t>
  </si>
  <si>
    <t>Aprobar cierre de planeación</t>
  </si>
  <si>
    <t>2.2</t>
  </si>
  <si>
    <t>SEGUIMIENTO Y CONTROL ETAPA DE PLANIFICACIÓN</t>
  </si>
  <si>
    <t>2.2.1</t>
  </si>
  <si>
    <t>Informe de desempeño del proyecto</t>
  </si>
  <si>
    <t>Analizar indicadores EVM</t>
  </si>
  <si>
    <t>Comparar avances reales</t>
  </si>
  <si>
    <t>Determinar desviaciones</t>
  </si>
  <si>
    <t>2.3</t>
  </si>
  <si>
    <t>CIERRE DE LA ETAPA DE PLANIFICACIÓN</t>
  </si>
  <si>
    <t>2.3.1</t>
  </si>
  <si>
    <t>Acta de cierre de la etapa de planificación</t>
  </si>
  <si>
    <t>Documentar tareas realizadas</t>
  </si>
  <si>
    <t>Verificar cumplimiento de entregables</t>
  </si>
  <si>
    <t>Registrar desviaciones y cambios aprobados</t>
  </si>
  <si>
    <t>Validar cierre con interesados</t>
  </si>
  <si>
    <t>Archivar documentación</t>
  </si>
  <si>
    <t>EJECUCIÓN</t>
  </si>
  <si>
    <t>3.1</t>
  </si>
  <si>
    <t>DOCUMENTACIÓN DE LA ETAPA DE EJECUCIÓN</t>
  </si>
  <si>
    <t>3.1.1</t>
  </si>
  <si>
    <t>Plan de gestión del proyecto</t>
  </si>
  <si>
    <t>Actualizar procesos definidos en planificación</t>
  </si>
  <si>
    <t>Registrar ajustes aprobados</t>
  </si>
  <si>
    <t>Establecer comunicación operativa</t>
  </si>
  <si>
    <t>Identificar responsables activos del proyecto</t>
  </si>
  <si>
    <t>Ajustar alineación con alcance y cronograma</t>
  </si>
  <si>
    <t>3.1.2</t>
  </si>
  <si>
    <t>Junta de entregable del plan de gestión</t>
  </si>
  <si>
    <t>Presentar avances del plan</t>
  </si>
  <si>
    <t>Validar cumplimiento de criterios</t>
  </si>
  <si>
    <t>Registrar solicitudes de cambio</t>
  </si>
  <si>
    <t>Obtener aprobación</t>
  </si>
  <si>
    <t>Archivar evidencia</t>
  </si>
  <si>
    <t>3.1.3</t>
  </si>
  <si>
    <t>EJECUCION TECNICA</t>
  </si>
  <si>
    <t>3.1.3.1</t>
  </si>
  <si>
    <t>PREPARACIÓN DEL SITIO FÍSICO</t>
  </si>
  <si>
    <t>Realizar un estudio y evaluación de las condiciones físicas del local asignado.</t>
  </si>
  <si>
    <t>Limpiar y despejar el área completamente de mobiliario u objetos no técnicos.</t>
  </si>
  <si>
    <t>Verificar y asegurar la integridad estructural del piso, techos y paredes.</t>
  </si>
  <si>
    <t>Aplicar pintura anti-polvo y realizar tratamientos para control de humedad si es necesario.</t>
  </si>
  <si>
    <t>Instalar piso falso técnico con la resistencia y especificaciones requeridas.</t>
  </si>
  <si>
    <t>Delimitar y señalizar las áreas de trabajo y de acceso restringido.</t>
  </si>
  <si>
    <t>3.1.3.2</t>
  </si>
  <si>
    <t>ACONDICIONAMIENTO DEL ÁREA TÉCNICA</t>
  </si>
  <si>
    <t>Definir la distribución física de racks, gabinetes y zonas de cableado.</t>
  </si>
  <si>
    <t>Montar y anclar los racks y gabinetes al piso según planos.</t>
  </si>
  <si>
    <t>Instalar canaletas, bandejas portacables y organizadores de cableado.</t>
  </si>
  <si>
    <t>Asegurar que exista un sistema de puesta a tierra adecuado.</t>
  </si>
  <si>
    <t>Verificar que el espacio cumple con las dimensiones y flujo de aire requeridos.</t>
  </si>
  <si>
    <t>3.1.3.3</t>
  </si>
  <si>
    <t>INSTALACIÓN DE CABLEADO ESTRUCTURADO</t>
  </si>
  <si>
    <t>Tender cables de fibra óptica y cobre (CAT6A o superior) desde el área principal hasta los puestos de trabajo y racks.</t>
  </si>
  <si>
    <t>Instalar y conectar los patch panels en los racks.</t>
  </si>
  <si>
    <t>Realizar el ponchado y terminación de todos los cables en los patch panels y tomas de pared.</t>
  </si>
  <si>
    <t>Etiquetar ambos extremos de cada cable con un sistema de identificación claro.</t>
  </si>
  <si>
    <t>Probar cada canal de cableado con un certificador para verificar estándares (TIA/EIA).</t>
  </si>
  <si>
    <t>Documentar el diagrama físico de cableado.</t>
  </si>
  <si>
    <t>3.1.3.4</t>
  </si>
  <si>
    <t>INSTALACIÓN DE SERVIDORES Y RACKS</t>
  </si>
  <si>
    <t>Verificar la llegada física de los servidores y equipos contra la lista de inventario.</t>
  </si>
  <si>
    <t>Desembalar y colocar los equipos en su ubicación designada dentro del rack.</t>
  </si>
  <si>
    <t>Instalar rieles de montaje y asegurar físicamente los servidores, unidades de almacenamiento y equipos de red en el rack.</t>
  </si>
  <si>
    <t>Conectar los cables de alimentación y de datos de cada equipo.</t>
  </si>
  <si>
    <t>3.1.3.5</t>
  </si>
  <si>
    <t>MONTAJE DE SERVIDORES PRINCIPALES</t>
  </si>
  <si>
    <t>Instalar los servidores de computación de alta capacidad en los racks principales.</t>
  </si>
  <si>
    <t>Instalar las unidades de almacenamiento principal (SAN/NAS) y conectarlas a la red de fibra.</t>
  </si>
  <si>
    <t>Conectar los cables de red de administración y de datos a los switches correspondientes.</t>
  </si>
  <si>
    <t>Conectar los cables de alimentación a las PDUs del rack.</t>
  </si>
  <si>
    <t>3.1.3.6</t>
  </si>
  <si>
    <t>INSTALACIÓN DE SWITCHES, ROUTERS Y FIREWALLS</t>
  </si>
  <si>
    <t>Montar físicamente los switches de core, distribución y acceso en los racks.</t>
  </si>
  <si>
    <t>Montar físicamente los routers y firewalls de la red perimetral.</t>
  </si>
  <si>
    <t>Conectar los enlaces de red entre switches, routers y firewalls según el diseño lógico.</t>
  </si>
  <si>
    <t>Conectar los enlaces de red hacia los servidores y el almacenamiento.</t>
  </si>
  <si>
    <t>Conectar los enlaces de internet y WAN a los routers correspondientes.</t>
  </si>
  <si>
    <t>3.1.3.7</t>
  </si>
  <si>
    <t>INSTALACIÓN DE UPS Y GENERADORES DE RESPALDO</t>
  </si>
  <si>
    <t>instalar y colocar en posición las unidades UPS (Sistema de Alimentación Ininterrumpida) de acuerdo a su peso y tamaño.</t>
  </si>
  <si>
    <t>Conectar las UPS a la alimentación eléctrica principal del edificio.</t>
  </si>
  <si>
    <t>Realizar las conexiones eléctricas desde las UPS hacia las PDUs (Unidades de Distribución de Energía) en los racks.</t>
  </si>
  <si>
    <t>Instalar el generador eléctrico de respaldo en el exterior o área designada.</t>
  </si>
  <si>
    <t>Conectar el generador al sistema eléctrico del centro de datos mediante un ATS (Interruptor de Transferencia Automática).</t>
  </si>
  <si>
    <t>Realizar pruebas de arranque automático y transferencia de carga del generador.</t>
  </si>
  <si>
    <t>3.1.3.8</t>
  </si>
  <si>
    <t>DISTRIBUCIÓN DE ENERGÍA REDUNDANTE</t>
  </si>
  <si>
    <t>Instalar PDUs (Unidades de Distribución de Energía) redundantes en cada rack.</t>
  </si>
  <si>
    <t>Conectar cada servidor y equipo crítico a dos PDUs diferentes (A y B) para redundancia.</t>
  </si>
  <si>
    <t>Asegurar que los circuitos eléctricos desde las UPS hasta las PDUs sean independientes.</t>
  </si>
  <si>
    <t>Verificar la correcta polarización y voltaje en cada toma de las PDUs.</t>
  </si>
  <si>
    <t>3.1.3.9</t>
  </si>
  <si>
    <t>SISTEMAS DE CLIMATIZACIÓN</t>
  </si>
  <si>
    <t>Instalar las unidades de aire acondicionado de precisión (CRAC) según el diseño.</t>
  </si>
  <si>
    <t>Configurar los setpoints de temperatura y humedad en los controladores del CRAC.</t>
  </si>
  <si>
    <t>Asegurar que el flujo de aire frío y caliente esté correctamente distribuido (pasillos fríos/calientes).</t>
  </si>
  <si>
    <t>Integrar los sensores de temperatura ambientales con el sistema de monitoreo.</t>
  </si>
  <si>
    <t>3.1.3.10</t>
  </si>
  <si>
    <t>SISTEMAS DE SEGURIDAD FÍSICA Y MONITOREO 24/7</t>
  </si>
  <si>
    <t>Instalar controles de acceso físico (lectores de tarjeta, biométricos) en todas las entradas.</t>
  </si>
  <si>
    <t>Instalar cámaras de videovigilancia (CCTV) con cobertura total de 360 grados y grabación.</t>
  </si>
  <si>
    <t>Instalar sensores de inundación, humo y temperatura en puntos críticos.</t>
  </si>
  <si>
    <t>Configurar y conectar todos los sistemas de seguridad al sistema de monitoreo central.</t>
  </si>
  <si>
    <t>Verificar el funcionamiento de las alarmas y las notificaciones automáticas.</t>
  </si>
  <si>
    <t>3.1.3.11</t>
  </si>
  <si>
    <t>PREPARACIÓN DEL SITIO SECUNDARIO</t>
  </si>
  <si>
    <t>Repetir todos los pasos de "Preparación del sitio físico" y "Acondicionamiento del área técnica" en la ubicación secundaria.</t>
  </si>
  <si>
    <t>3.1.3.12</t>
  </si>
  <si>
    <t>INSTALACIÓN DE INFRAESTRUCTURA DE RED Y ENERGÍA</t>
  </si>
  <si>
    <t>Repetir todos los pasos de "Instalación de cableado estructurado", "Sistemas eléctricos" y "Sistemas de climatización" en el sitio secundario.</t>
  </si>
  <si>
    <t>3.1.3.13</t>
  </si>
  <si>
    <t>INSTALACIÓN DE SERVIDORES DE RESPALDO Y ALMACENAMIENTO</t>
  </si>
  <si>
    <t>Montar los servidores de respaldo (con especificaciones posibles menores a las del sitio principal).</t>
  </si>
  <si>
    <t>Instalar el sistema de almacenamiento secundario o de respaldo.</t>
  </si>
  <si>
    <t>Conectar los servidores y el almacenamiento a la red local del sitio secundario.</t>
  </si>
  <si>
    <t>3.1.3.14</t>
  </si>
  <si>
    <t>CONFIGURACIÓN DE REPLICACIÓN DE DATOS</t>
  </si>
  <si>
    <t>Configurar el software o hardware de replicación en el almacenamiento principal y secundario.</t>
  </si>
  <si>
    <t>Definir las políticas de replicación (síncrona o asíncrona) y el RPO (Objetivo de Punto de Recuperación).</t>
  </si>
  <si>
    <t>Establecer los volúmenes o datasets que serán replicados.</t>
  </si>
  <si>
    <t>Iniciar la replicación inicial (seeding) de los datos desde el sitio principal al secundario.</t>
  </si>
  <si>
    <t>3.1.3.15</t>
  </si>
  <si>
    <t>INTEGRACIÓN DE REDUNDANCIA ACTIVA–PASIVA</t>
  </si>
  <si>
    <t>Configurar los servicios de red (DNS, IPs virtuales) para que apunten al sitio activo (principal).</t>
  </si>
  <si>
    <t>Configurar el software de clúster o de balanceo de carga para detectar la caída del sitio principal.</t>
  </si>
  <si>
    <t>Establecer los umbrales y condiciones para activar la conmutación (failover) al sitio pasivo (secundario).</t>
  </si>
  <si>
    <t>3.1.3.16</t>
  </si>
  <si>
    <t>PRUEBAS DE CONMUTACIÓN (FAILOVER) Y RECUPERACIÓN</t>
  </si>
  <si>
    <t>Realizar una simulación de fallo en el sitio principal de forma controlada.</t>
  </si>
  <si>
    <t>Verificar que el sitio secundario se active automáticamente o de forma manual según lo diseñado.</t>
  </si>
  <si>
    <t>Comprobar que todos los servicios y aplicaciones estén disponibles desde el sitio secundario.</t>
  </si>
  <si>
    <t>Realizar una prueba de conmutación de retorno (fallback) al sitio principal una vez restaurado.</t>
  </si>
  <si>
    <t>CONFIGURACIÓN, INTEGRACIÓN Y PRUEBAS</t>
  </si>
  <si>
    <t>3.1.3.17</t>
  </si>
  <si>
    <t>INSTALACIÓN DE SOFTWARE BASE Y HERRAMIENTAS DE ADMINISTRACIÓN</t>
  </si>
  <si>
    <t>Instalar el sistema operativo (Linux, Windows Server) en todos los servidores físicos y virtuales.</t>
  </si>
  <si>
    <t>Aplicar las actualizaciones de seguridad y parches más recientes al sistema operativo.</t>
  </si>
  <si>
    <t>Instalar y configurar herramientas de administración de sistemas (ej. Ansible, Puppet).</t>
  </si>
  <si>
    <t>Instalar y configurar herramientas de monitoreo de infraestructura (ej. Zabbix, Nagios, PRTG).</t>
  </si>
  <si>
    <t>Instalar y configurar herramientas de gestión de logs (ej. ELK Stack, Graylog).</t>
  </si>
  <si>
    <t>3.1.3.18</t>
  </si>
  <si>
    <t>CONFIGURACIÓN DE SERVICIOS EN LA NUBE Y VIRTUALIZACIÓN</t>
  </si>
  <si>
    <t>Instalar y configurar el hipervisor (ej. VMware vSphere, Microsoft Hyper-V, KVM) en los servidores.</t>
  </si>
  <si>
    <t>Crear las máquinas virtuales (VMs) según los requisitos de cada aplicación y servicio.</t>
  </si>
  <si>
    <t>Configurar las redes virtuales (VLANs) y conmutadores virtuales (vSwitches).</t>
  </si>
  <si>
    <t>Integrar los servicios de nube privada con servicios de nube pública (híbrida) si aplica.</t>
  </si>
  <si>
    <t>Configurar las plantillas (templates) de VMs para despliegues rápidos.</t>
  </si>
  <si>
    <t>3.1.3.19</t>
  </si>
  <si>
    <t>CONFIGURACIÓN DE SEGURIDAD Y MONITOREO CENTRALIZADO</t>
  </si>
  <si>
    <t>Configurar políticas de firewall en los dispositivos de red y en los sistemas operativos.</t>
  </si>
  <si>
    <t>Implementar un sistema de detección y prevención de intrusos (IDS/IPS).</t>
  </si>
  <si>
    <t>Configurar el sistema de gestión de identidades y accesos (IAM).</t>
  </si>
  <si>
    <t>Integrar todos los logs de seguridad y eventos en la herramienta de gestión centralizada.</t>
  </si>
  <si>
    <t>Configurar dashboards y alertas para el monitoreo en tiempo real.</t>
  </si>
  <si>
    <t>3.1.3.20</t>
  </si>
  <si>
    <t>PRUEBAS DE RENDIMIENTO Y CARGA</t>
  </si>
  <si>
    <t>Ejecutar herramientas de estrés (ej. Stress-NG, Prime95) en los servidores para evaluar CPU, RAM y I/O.</t>
  </si>
  <si>
    <t>Realizar pruebas de throughput y latencia en la red y el almacenamiento.</t>
  </si>
  <si>
    <t>Simular cargas de trabajo de usuarios concurrentes en las aplicaciones críticas.</t>
  </si>
  <si>
    <t>Medir los tiempos de respuesta y el uso de recursos bajo carga máxima.</t>
  </si>
  <si>
    <t>Identificar y documentar cuellos de botella.</t>
  </si>
  <si>
    <t>3.1.3.21</t>
  </si>
  <si>
    <t>PRUEBAS DE RESPALDO Y RECUPERACIÓN ANTE DESASTRES</t>
  </si>
  <si>
    <t>Ejecutar respaldos completos e incrementales del sistema usando la herramienta implementada.</t>
  </si>
  <si>
    <t>Verificar la integridad de los respaldos mediante checksums o pruebas de restauración.</t>
  </si>
  <si>
    <t>Simular la pérdida de un servidor crítico o una base de datos y ejecutar el procedimiento de recuperación.</t>
  </si>
  <si>
    <t>Medir y documentar el RTO (Objetivo de Tiempo de Recuperación) logrado.</t>
  </si>
  <si>
    <t>Validar que los respaldos en cinta o fuera del sitio estén disponibles y sean legibles.</t>
  </si>
  <si>
    <t>3.1.3.22</t>
  </si>
  <si>
    <t>VALIDACIÓN DE LA REPLICACIÓN EN TIEMPO REAL</t>
  </si>
  <si>
    <t>Monitorear constantemente el estado y el lag (retraso) de la replicación de datos.</t>
  </si>
  <si>
    <t>Realizar cortes de red controlados para verificar la resiliencia del proceso de replicación.</t>
  </si>
  <si>
    <t>Verificar la integridad de los datos replicados en el sitio secundario.</t>
  </si>
  <si>
    <t>Confirmar que no haya pérdida de datos (o que esté dentro del RPO aceptable) durante la replicación.</t>
  </si>
  <si>
    <t>3.1.4</t>
  </si>
  <si>
    <t>PUESTA EN MARCHA Y ENTREGA</t>
  </si>
  <si>
    <t>3.1.4.1</t>
  </si>
  <si>
    <t>CAPACITACIÓN TÉCNICA Y OPERATIVA AL PERSONAL</t>
  </si>
  <si>
    <t>Diseñar el material de capacitación (presentaciones, guías) dirigido a administradores y usuarios finales.</t>
  </si>
  <si>
    <t>Realizar sesiones de capacitación teóricas sobre la arquitectura y funcionamiento del nuevo sistema.</t>
  </si>
  <si>
    <t>Realizar sesiones de capacitación prácticas en un entorno de laboratorio o de staging.</t>
  </si>
  <si>
    <t>Enseñar los procedimientos operativos estándar (SOPs) para el día a día.</t>
  </si>
  <si>
    <t>Realizar simulacros de incidentes comunes para el equipo técnico.</t>
  </si>
  <si>
    <t>3.1.5</t>
  </si>
  <si>
    <t>TRANSFERENCIA DE CONOCIMIENTO Y MANUALES OPERATIVOS</t>
  </si>
  <si>
    <t>Elaborar y entregar los manuales de operación, administración y recuperación ante fallos.</t>
  </si>
  <si>
    <t>Documentar los diagramas de arquitectura, red y flujos de datos.</t>
  </si>
  <si>
    <t>Entregar las credenciales de acceso y la documentación de configuración detallada.</t>
  </si>
  <si>
    <t>Realizar sesiones de preguntas y respuestas con el equipo interno del cliente.</t>
  </si>
  <si>
    <t>3.1.6</t>
  </si>
  <si>
    <t>VALIDACIÓN FUNCIONAL DEL SISTEMA INTEGRAL</t>
  </si>
  <si>
    <t>Realizar una prueba final de extremo a extremo (end-to-end) de todos los procesos de negocio críticos.</t>
  </si>
  <si>
    <t>Verificar que todas las aplicaciones y servicios estén funcionando correctamente e integrados.</t>
  </si>
  <si>
    <t>Obtener la aceptación formal del cliente (PymeCloud México) de que el sistema cumple con lo acordado.</t>
  </si>
  <si>
    <t>3.1.7</t>
  </si>
  <si>
    <t>CERTIFICACIÓN DE CUMPLIMIENTO Y AUDITORÍA TÉCNICA</t>
  </si>
  <si>
    <t>Recopilar toda la evidencia de cumplimiento de estándares y normativas requeridas.</t>
  </si>
  <si>
    <t>Realizar una auditoría interna para verificar que se cumplen los controles de seguridad.</t>
  </si>
  <si>
    <t>Presentar los resultados y la documentación al cliente para su revisión y firma.</t>
  </si>
  <si>
    <t>3.1.8</t>
  </si>
  <si>
    <t>ENTREGA FORMAL AL CLIENTE (PYMECLOUD MÉXICO)</t>
  </si>
  <si>
    <t>Realizar un acta de entrega-recepción firmada por ambas partes.</t>
  </si>
  <si>
    <t>Hacer la transferencia formal de los activos físicos y lógicos al cliente.</t>
  </si>
  <si>
    <t>Establecer los puntos de contacto y los canales para el soporte post-entrega.</t>
  </si>
  <si>
    <t>3.2</t>
  </si>
  <si>
    <t>SEGUIMIENTO Y CONTROL DE LA ETAPA DE EJECUCIÓN</t>
  </si>
  <si>
    <t>3.2.1</t>
  </si>
  <si>
    <t>Evaluación de competencias generales</t>
  </si>
  <si>
    <t>Identificar competencias del equipo</t>
  </si>
  <si>
    <t>Evaluar desempeño</t>
  </si>
  <si>
    <t>Definir brechas de conocimiento</t>
  </si>
  <si>
    <t>Establecer acciones de mejora</t>
  </si>
  <si>
    <t>3.3</t>
  </si>
  <si>
    <t>CIERRE DE LA ETAPA DE EJECUCIÓN</t>
  </si>
  <si>
    <t>3.3.1</t>
  </si>
  <si>
    <t>Acta de cierre de la etapa de ejecución</t>
  </si>
  <si>
    <t>Documentar resultados obtenidos</t>
  </si>
  <si>
    <t>Registrar entregables finalizados</t>
  </si>
  <si>
    <t>Validar cumplimiento del cronograma</t>
  </si>
  <si>
    <t>Aprobar cierre de la etapa</t>
  </si>
  <si>
    <t>Archivar registros y evidencias</t>
  </si>
  <si>
    <t>CIERRE</t>
  </si>
  <si>
    <t>4.1</t>
  </si>
  <si>
    <t>DOCUMENTACIÓN DE LA ETAPA DE CIERRE</t>
  </si>
  <si>
    <t>4.1.1</t>
  </si>
  <si>
    <t>Acta de aceptación del proyecto</t>
  </si>
  <si>
    <t>Registrar entregables aprobados por el cliente</t>
  </si>
  <si>
    <t>Confirmar cumplimiento total del alcance</t>
  </si>
  <si>
    <t>Obtener firmas de aceptación</t>
  </si>
  <si>
    <t>Formalizar cierre operacional del proyecto</t>
  </si>
  <si>
    <t>Archivar documentación oficial</t>
  </si>
  <si>
    <t>4.1.2</t>
  </si>
  <si>
    <t>Gestión de documentación</t>
  </si>
  <si>
    <t>Recopilar archivos finales</t>
  </si>
  <si>
    <t>Organizar documentación técnica y administrativa</t>
  </si>
  <si>
    <t>Depurar versiones obsoletas</t>
  </si>
  <si>
    <t>Cargar documentos al repositorio oficial</t>
  </si>
  <si>
    <t>Verificar integridad y disponibilidad</t>
  </si>
  <si>
    <t>4.1.3</t>
  </si>
  <si>
    <t>Junta de entregable de cierre</t>
  </si>
  <si>
    <t>Presentar documentación final</t>
  </si>
  <si>
    <t>Validar cumplimiento de requisitos</t>
  </si>
  <si>
    <t>Registrar comentarios finales del cliente</t>
  </si>
  <si>
    <t>Acordar cierre formal del proyecto</t>
  </si>
  <si>
    <t>Conservar evidencia de la sesión</t>
  </si>
  <si>
    <t>4.1.4</t>
  </si>
  <si>
    <t>INFORME FINAL DE RESULTADOS</t>
  </si>
  <si>
    <t>Recopilar todas las métricas de rendimiento, disponibilidad y capacidad obtenidas en las pruebas.</t>
  </si>
  <si>
    <t>Elaborar un informe ejecutivo que resuma el proyecto, los resultados y el cumplimiento de objetivos.</t>
  </si>
  <si>
    <t>Incluir en el informe una sección con recomendaciones para futuras mejoras o expansiones.</t>
  </si>
  <si>
    <t>4.1.5</t>
  </si>
  <si>
    <t>EVALUACIÓN DEL CUMPLIMIENTO DEL ALCANCE Y ENTREGABLES</t>
  </si>
  <si>
    <t>Revisar la lista de alcance inicial y compararla con lo finalmente implementado.</t>
  </si>
  <si>
    <t>Verificar que todos los entregables definidos (documentos, equipos, configuraciones) hayan sido completados.</t>
  </si>
  <si>
    <t>Identificar y documentar cualquier desviación del alcance original y su justificación.</t>
  </si>
  <si>
    <t>4.1.6</t>
  </si>
  <si>
    <t>LIBERACIÓN DE RECURSOS HUMANOS Y MATERIALES</t>
  </si>
  <si>
    <t>Desmovilizar al equipo de proyecto y reasignarlo a otras tareas o proyectos.</t>
  </si>
  <si>
    <t>Devolver los equipos de prueba, herramientas y materiales sobrantes a almacén o al proveedor.</t>
  </si>
  <si>
    <t>Dar de baja las credenciales de acceso temporales del personal externo.</t>
  </si>
  <si>
    <t>4.1.7</t>
  </si>
  <si>
    <t>REGISTRO DE LECCIONES APRENDIDAS</t>
  </si>
  <si>
    <t>Realizar una sesión de retrospectiva con todo el equipo del proyecto.</t>
  </si>
  <si>
    <t>Identificar y documentar qué salió bien, qué salió mal y qué se puede mejorar para futuros proyectos.</t>
  </si>
  <si>
    <t>Archivar este registro en el repositorio de conocimiento de la organización.</t>
  </si>
  <si>
    <t>4.1.8</t>
  </si>
  <si>
    <t>CIERRE ADMINISTRATIVO Y CONTRACTUAL</t>
  </si>
  <si>
    <t>Cerrar todas las órdenes de compra y pagar las facturas pendientes de proveedores.</t>
  </si>
  <si>
    <t>Realizar el cierre financiero del proyecto, reconciliando el presupuesto vs. el gasto real.</t>
  </si>
  <si>
    <t>Obtener la conformidad de pago final por parte del cliente.</t>
  </si>
  <si>
    <t>Archivar toda la documentación contractual y del proyecto según las políticas de la organización.</t>
  </si>
  <si>
    <t>4.2</t>
  </si>
  <si>
    <t>SEGUIMIENTO Y CONTROL DE LA ETAPA DE CIERRE</t>
  </si>
  <si>
    <t>4.2.1</t>
  </si>
  <si>
    <t>4.2.2</t>
  </si>
  <si>
    <t>4.2.3</t>
  </si>
  <si>
    <t>4.3</t>
  </si>
  <si>
    <t>CIERRE DE LA ETAPA DE CIERRE</t>
  </si>
  <si>
    <t>4.3.1</t>
  </si>
  <si>
    <t>Acta de cierre de la etapa de cierre</t>
  </si>
  <si>
    <t>Registrar resultados finales del proyecto</t>
  </si>
  <si>
    <t>Verificar cumplimiento total de procesos</t>
  </si>
  <si>
    <t>Validar cierre legal, administrativo y técnico</t>
  </si>
  <si>
    <t>Obtener firmas de cierre definitivo</t>
  </si>
  <si>
    <t>Archivar oficialmente 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</si>
</sst>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80A]* #,##0.00_-;\-[$$-80A]* #,##0.00_-;_-[$$-80A]* &quot;-&quot;??_-;_-@_-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2D5"/>
        <bgColor rgb="FFFBE2D5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164" fontId="1" fillId="2" borderId="0" xfId="0" applyNumberFormat="1" applyFont="1" applyFill="1"/>
    <xf numFmtId="0" fontId="0" fillId="0" borderId="4" xfId="0" applyBorder="1" applyAlignment="1">
      <alignment horizontal="right"/>
    </xf>
    <xf numFmtId="0" fontId="0" fillId="3" borderId="4" xfId="0" applyFill="1" applyBorder="1" applyAlignment="1">
      <alignment horizontal="left" vertical="top"/>
    </xf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164" fontId="0" fillId="0" borderId="4" xfId="0" applyNumberFormat="1" applyBorder="1"/>
    <xf numFmtId="0" fontId="2" fillId="4" borderId="4" xfId="0" applyFont="1" applyFill="1" applyBorder="1" applyAlignment="1">
      <alignment horizontal="left" vertical="top"/>
    </xf>
    <xf numFmtId="0" fontId="0" fillId="0" borderId="4" xfId="0" applyBorder="1"/>
    <xf numFmtId="0" fontId="0" fillId="0" borderId="4" xfId="0" applyBorder="1" applyAlignment="1">
      <alignment horizontal="center"/>
    </xf>
    <xf numFmtId="0" fontId="3" fillId="5" borderId="4" xfId="0" applyFont="1" applyFill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4" fontId="0" fillId="0" borderId="4" xfId="0" applyNumberFormat="1" applyBorder="1"/>
    <xf numFmtId="0" fontId="0" fillId="0" borderId="4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14" fontId="0" fillId="3" borderId="4" xfId="0" applyNumberFormat="1" applyFill="1" applyBorder="1"/>
    <xf numFmtId="14" fontId="2" fillId="0" borderId="4" xfId="0" applyNumberFormat="1" applyFont="1" applyBorder="1"/>
    <xf numFmtId="0" fontId="2" fillId="6" borderId="4" xfId="0" applyFont="1" applyFill="1" applyBorder="1" applyAlignment="1">
      <alignment horizontal="left" vertical="top"/>
    </xf>
    <xf numFmtId="0" fontId="5" fillId="7" borderId="4" xfId="0" applyFont="1" applyFill="1" applyBorder="1"/>
    <xf numFmtId="0" fontId="6" fillId="3" borderId="4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3" borderId="4" xfId="0" applyFont="1" applyFill="1" applyBorder="1" applyAlignment="1">
      <alignment horizontal="left" vertical="top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6" xfId="0" applyFont="1" applyBorder="1" applyAlignment="1">
      <alignment horizontal="left" vertical="top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43">
    <dxf>
      <numFmt numFmtId="164" formatCode="_-[$$-80A]* #,##0.00_-;\-[$$-80A]* #,##0.00_-;_-[$$-80A]* &quot;-&quot;??_-;_-@_-"/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80A]* #,##0.00_-;\-[$$-80A]* #,##0.00_-;_-[$$-80A]* &quot;-&quot;??_-;_-@_-"/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80A]* #,##0.00_-;\-[$$-80A]* #,##0.00_-;_-[$$-80A]* &quot;-&quot;??_-;_-@_-"/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80A]* #,##0.00_-;\-[$$-80A]* #,##0.00_-;_-[$$-80A]* &quot;-&quot;??_-;_-@_-"/>
    </dxf>
    <dxf>
      <numFmt numFmtId="19" formatCode="dd/mm/yyyy"/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/>
        <right/>
        <top/>
        <bottom/>
      </border>
    </dxf>
    <dxf>
      <numFmt numFmtId="19" formatCode="dd/mm/yyyy"/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/>
        <right/>
        <top/>
        <bottom/>
      </border>
    </dxf>
    <dxf>
      <numFmt numFmtId="19" formatCode="dd/mm/yyyy"/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/>
        <top/>
        <bottom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/>
        <top/>
        <bottom/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F1A983"/>
        </right>
      </border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  <alignment horizontal="general" vertical="bottom" textRotation="0" wrapText="1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3F34D49-7BD7-4BD7-A141-E60D013FFD61}">
      <tableStyleElement type="wholeTable" dxfId="42"/>
      <tableStyleElement type="headerRow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uaki\Documents\desglose%20actividades.xlsx" TargetMode="External"/><Relationship Id="rId1" Type="http://schemas.openxmlformats.org/officeDocument/2006/relationships/externalLinkPath" Target="desglose%20activida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TILLAS"/>
      <sheetName val="Hoja1"/>
      <sheetName val="desglose actividades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963F88-5D55-4040-A991-EFD2EAED3372}" name="Tabla15" displayName="Tabla15" ref="A1:T570" totalsRowCount="1" headerRowDxfId="40" dataDxfId="39" tableBorderDxfId="38">
  <autoFilter ref="A1:T569" xr:uid="{B968A40D-AAAB-4664-AF6E-E015D8FC8A7E}">
    <filterColumn colId="5">
      <filters>
        <filter val="-"/>
        <filter val="actividad"/>
        <filter val="etapa"/>
        <filter val="face"/>
      </filters>
    </filterColumn>
  </autoFilter>
  <tableColumns count="20">
    <tableColumn id="1" xr3:uid="{9B163EB7-AECB-4340-BCD4-2683BCDDAC44}" name="EDT" dataDxfId="36" totalsRowDxfId="37">
      <calculatedColumnFormula>CONCATENATE($A$564,".",B2)</calculatedColumnFormula>
    </tableColumn>
    <tableColumn id="2" xr3:uid="{1A4CDC56-C668-40B2-8F04-57F7EDBE7EAD}" name="Columna1" dataDxfId="34" totalsRowDxfId="35">
      <calculatedColumnFormula>IF(B1=" ",1,B1+1)</calculatedColumnFormula>
    </tableColumn>
    <tableColumn id="3" xr3:uid="{0A9D26A2-952E-4D6F-AB02-8F8B38C34988}" name="Actividad" dataDxfId="32" totalsRowDxfId="33"/>
    <tableColumn id="4" xr3:uid="{DC63017C-EEE4-45F9-B9AF-C0CCBF3629EC}" name="Etapa" dataDxfId="30" totalsRowDxfId="31"/>
    <tableColumn id="5" xr3:uid="{D358C5EA-927D-4F46-BA76-C10054B7B9F3}" name="face" dataDxfId="28" totalsRowDxfId="29"/>
    <tableColumn id="6" xr3:uid="{5C9A9E82-386B-492F-9184-24AFF121CB4B}" name="Tipo" dataDxfId="26" totalsRowDxfId="27">
      <calculatedColumnFormula>IF([1]!Tabla1[[#This Row],[Columna1]]="","actividad","subactividad")</calculatedColumnFormula>
    </tableColumn>
    <tableColumn id="7" xr3:uid="{D22BF16B-21F8-4106-9B69-6266FC54E421}" name="plantilla/producto" dataDxfId="24" totalsRowDxfId="25"/>
    <tableColumn id="8" xr3:uid="{3E159668-9AF0-4994-B25D-17EAF499EAD2}" name="Inicio ideal" dataDxfId="22" totalsRowDxfId="23">
      <calculatedColumnFormula>I1</calculatedColumnFormula>
    </tableColumn>
    <tableColumn id="9" xr3:uid="{3D51A60D-BF6A-48FE-9EAA-95D00F07E2DB}" name="Fin ideal" dataDxfId="20" totalsRowDxfId="21">
      <calculatedColumnFormula>[1]!Tabla1[[#This Row],[Inicio ideal]]+[1]!Tabla1[[#This Row],[duracion ideal (dia)]]</calculatedColumnFormula>
    </tableColumn>
    <tableColumn id="10" xr3:uid="{3D75D49B-0FE8-4FC0-964C-1E403F72B9BD}" name="Duracion ideal (dia)" dataDxfId="18" totalsRowDxfId="19"/>
    <tableColumn id="12" xr3:uid="{8D4D9828-FB4C-4187-91F0-B038C8A74096}" name="Inicio Real" dataDxfId="16" totalsRowDxfId="17">
      <calculatedColumnFormula>L1</calculatedColumnFormula>
    </tableColumn>
    <tableColumn id="13" xr3:uid="{AD28A78D-2D8C-4051-A8D7-38E2FB1D867B}" name="Fin Real" dataDxfId="14" totalsRowDxfId="15">
      <calculatedColumnFormula>[1]!Tabla1[[#This Row],[Inicio Real]]+[1]!Tabla1[[#This Row],[Duracion Real (dia)]]</calculatedColumnFormula>
    </tableColumn>
    <tableColumn id="14" xr3:uid="{BBA785C3-5852-4AE6-B8A9-8A27926276BE}" name="Duracion Real (dia)" dataDxfId="12" totalsRowDxfId="13"/>
    <tableColumn id="22" xr3:uid="{735AFCB2-05AA-4A0A-94DA-7639A51C9E7C}" name="Responsable" dataDxfId="10" totalsRowDxfId="11"/>
    <tableColumn id="23" xr3:uid="{EE24AD25-E213-4F83-A674-C9343D22E21A}" name="Gastos ideal" dataDxfId="8" totalsRowDxfId="9"/>
    <tableColumn id="24" xr3:uid="{E17B8C0B-EE4F-42CF-9C87-8A26429C0F69}" name="Sueldos por dia Ideal" dataDxfId="6" totalsRowDxfId="7"/>
    <tableColumn id="25" xr3:uid="{DFECBD60-B181-4807-8B87-3545EF30B1A8}" name="Total ideal" totalsRowFunction="custom" dataDxfId="4" totalsRowDxfId="5">
      <totalsRowFormula>SUM(Q5:Q569)</totalsRowFormula>
    </tableColumn>
    <tableColumn id="26" xr3:uid="{C5E15638-6D3B-4F80-822D-8ED8D1E952B2}" name="Gasto Real" dataDxfId="3"/>
    <tableColumn id="27" xr3:uid="{F678BF51-44BC-49C5-84B1-C7777374F302}" name="Sueldos por dia Real" dataDxfId="2"/>
    <tableColumn id="28" xr3:uid="{4F3C6DC6-AF62-4103-999F-CC7962EE889B}" name="Total Real" totalsRowFunction="custom" dataDxfId="0" totalsRowDxfId="1">
      <totalsRowFormula>SUM(T5:T569)</totalsRow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2861-CEBC-4B99-A6AB-E15E22104EDB}">
  <dimension ref="A1:T571"/>
  <sheetViews>
    <sheetView tabSelected="1" topLeftCell="C1" zoomScale="70" zoomScaleNormal="85" workbookViewId="0">
      <selection activeCell="R1" sqref="R1:T1048576"/>
    </sheetView>
  </sheetViews>
  <sheetFormatPr defaultColWidth="117.28515625" defaultRowHeight="14.45"/>
  <cols>
    <col min="1" max="1" width="10.28515625" style="36" bestFit="1" customWidth="1"/>
    <col min="2" max="2" width="9.5703125" style="36" hidden="1" customWidth="1"/>
    <col min="3" max="3" width="120" style="37" bestFit="1" customWidth="1"/>
    <col min="4" max="4" width="14" hidden="1" customWidth="1"/>
    <col min="5" max="5" width="22.42578125" hidden="1" customWidth="1"/>
    <col min="6" max="6" width="11.28515625" hidden="1" customWidth="1"/>
    <col min="7" max="7" width="22.28515625" style="33" hidden="1" customWidth="1"/>
    <col min="8" max="8" width="13" bestFit="1" customWidth="1"/>
    <col min="9" max="9" width="11.140625" bestFit="1" customWidth="1"/>
    <col min="10" max="10" width="20.42578125" style="33" bestFit="1" customWidth="1"/>
    <col min="11" max="11" width="12.5703125" hidden="1" customWidth="1"/>
    <col min="12" max="12" width="11.140625" hidden="1" customWidth="1"/>
    <col min="13" max="13" width="22.28515625" style="33" hidden="1" customWidth="1"/>
    <col min="14" max="14" width="26.7109375" bestFit="1" customWidth="1"/>
    <col min="15" max="15" width="14.42578125" style="35" customWidth="1"/>
    <col min="16" max="16" width="22.7109375" style="35" customWidth="1"/>
    <col min="17" max="17" width="15.28515625" style="35" customWidth="1"/>
    <col min="18" max="18" width="14.28515625" hidden="1" customWidth="1"/>
    <col min="19" max="19" width="20.7109375" hidden="1" customWidth="1"/>
    <col min="20" max="20" width="15.28515625" hidden="1" customWidth="1"/>
  </cols>
  <sheetData>
    <row r="1" spans="1:20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  <c r="Q1" s="7" t="s">
        <v>16</v>
      </c>
      <c r="R1" s="6" t="s">
        <v>17</v>
      </c>
      <c r="S1" s="6" t="s">
        <v>18</v>
      </c>
      <c r="T1" s="6" t="s">
        <v>19</v>
      </c>
    </row>
    <row r="2" spans="1:20">
      <c r="A2" s="9">
        <v>0</v>
      </c>
      <c r="B2" s="9" t="s">
        <v>20</v>
      </c>
      <c r="C2" s="10" t="s">
        <v>21</v>
      </c>
      <c r="D2" s="11" t="s">
        <v>22</v>
      </c>
      <c r="E2" s="11" t="s">
        <v>22</v>
      </c>
      <c r="F2" s="11" t="s">
        <v>22</v>
      </c>
      <c r="G2" s="12" t="s">
        <v>22</v>
      </c>
      <c r="H2" s="11" t="s">
        <v>22</v>
      </c>
      <c r="I2" s="11" t="s">
        <v>22</v>
      </c>
      <c r="J2" s="12" t="s">
        <v>22</v>
      </c>
      <c r="K2" s="11" t="s">
        <v>22</v>
      </c>
      <c r="L2" s="11" t="s">
        <v>22</v>
      </c>
      <c r="M2" s="12" t="s">
        <v>22</v>
      </c>
      <c r="N2" s="12" t="s">
        <v>22</v>
      </c>
      <c r="O2" s="13" t="s">
        <v>22</v>
      </c>
      <c r="P2" s="13" t="s">
        <v>22</v>
      </c>
      <c r="Q2" s="13" t="s">
        <v>22</v>
      </c>
      <c r="R2" s="13" t="s">
        <v>22</v>
      </c>
      <c r="S2" s="13" t="s">
        <v>22</v>
      </c>
      <c r="T2" s="13" t="s">
        <v>22</v>
      </c>
    </row>
    <row r="3" spans="1:20">
      <c r="A3" s="9">
        <v>1</v>
      </c>
      <c r="B3" s="9"/>
      <c r="C3" s="14" t="s">
        <v>23</v>
      </c>
      <c r="D3" s="15" t="s">
        <v>24</v>
      </c>
      <c r="E3" s="15" t="s">
        <v>25</v>
      </c>
      <c r="F3" s="15" t="s">
        <v>26</v>
      </c>
      <c r="G3" s="16" t="s">
        <v>22</v>
      </c>
      <c r="H3" s="15" t="s">
        <v>22</v>
      </c>
      <c r="I3" s="11" t="s">
        <v>22</v>
      </c>
      <c r="J3" s="12" t="s">
        <v>22</v>
      </c>
      <c r="K3" s="11" t="s">
        <v>22</v>
      </c>
      <c r="L3" s="11" t="s">
        <v>22</v>
      </c>
      <c r="M3" s="12" t="s">
        <v>22</v>
      </c>
      <c r="N3" s="12" t="s">
        <v>22</v>
      </c>
      <c r="O3" s="13" t="s">
        <v>22</v>
      </c>
      <c r="P3" s="13" t="s">
        <v>22</v>
      </c>
      <c r="Q3" s="13" t="s">
        <v>22</v>
      </c>
      <c r="R3" s="13" t="s">
        <v>22</v>
      </c>
      <c r="S3" s="13" t="s">
        <v>22</v>
      </c>
      <c r="T3" s="13" t="s">
        <v>22</v>
      </c>
    </row>
    <row r="4" spans="1:20">
      <c r="A4" s="9" t="s">
        <v>27</v>
      </c>
      <c r="B4" s="9"/>
      <c r="C4" s="17" t="s">
        <v>28</v>
      </c>
      <c r="D4" s="11" t="s">
        <v>24</v>
      </c>
      <c r="E4" s="11" t="s">
        <v>29</v>
      </c>
      <c r="F4" s="11" t="s">
        <v>4</v>
      </c>
      <c r="G4" s="12" t="s">
        <v>22</v>
      </c>
      <c r="H4" s="11" t="s">
        <v>22</v>
      </c>
      <c r="I4" s="11" t="s">
        <v>22</v>
      </c>
      <c r="J4" s="12" t="s">
        <v>22</v>
      </c>
      <c r="K4" s="11" t="s">
        <v>22</v>
      </c>
      <c r="L4" s="11" t="s">
        <v>22</v>
      </c>
      <c r="M4" s="12" t="s">
        <v>22</v>
      </c>
      <c r="N4" s="12" t="s">
        <v>22</v>
      </c>
      <c r="O4" s="13" t="s">
        <v>22</v>
      </c>
      <c r="P4" s="13" t="s">
        <v>22</v>
      </c>
      <c r="Q4" s="13" t="s">
        <v>22</v>
      </c>
      <c r="R4" s="13" t="s">
        <v>22</v>
      </c>
      <c r="S4" s="13" t="s">
        <v>22</v>
      </c>
      <c r="T4" s="13" t="s">
        <v>22</v>
      </c>
    </row>
    <row r="5" spans="1:20">
      <c r="A5" s="9" t="s">
        <v>30</v>
      </c>
      <c r="B5" s="9"/>
      <c r="C5" s="18" t="s">
        <v>31</v>
      </c>
      <c r="D5" s="15" t="s">
        <v>24</v>
      </c>
      <c r="E5" s="15" t="s">
        <v>29</v>
      </c>
      <c r="F5" s="15" t="str">
        <f>IF(Tabla15[[#This Row],[Columna1]]="","actividad","subactividad")</f>
        <v>actividad</v>
      </c>
      <c r="G5" s="16" t="s">
        <v>32</v>
      </c>
      <c r="H5" s="19">
        <v>45943</v>
      </c>
      <c r="I5" s="19">
        <f>IF(Tabla15[[#This Row],[Duracion ideal (dia)]]="",I4,Tabla15[[#This Row],[Inicio ideal]]+Tabla15[[#This Row],[Duracion ideal (dia)]])</f>
        <v>45944</v>
      </c>
      <c r="J5" s="16">
        <v>1</v>
      </c>
      <c r="K5" s="19">
        <v>45943</v>
      </c>
      <c r="L5" s="19">
        <f>IF(Tabla15[[#This Row],[Duracion Real (dia)]]="",L4,Tabla15[[#This Row],[Inicio Real]]+Tabla15[[#This Row],[Duracion Real (dia)]])</f>
        <v>45945</v>
      </c>
      <c r="M5" s="16">
        <v>2</v>
      </c>
      <c r="N5" s="19" t="s">
        <v>33</v>
      </c>
      <c r="O5" s="13">
        <v>60795.49</v>
      </c>
      <c r="P5" s="13">
        <v>1246.1500000000001</v>
      </c>
      <c r="Q5" s="13">
        <v>62041.64</v>
      </c>
      <c r="R5" s="13">
        <v>62041.64</v>
      </c>
      <c r="S5" s="13">
        <v>79034.137000000002</v>
      </c>
      <c r="T5" s="13">
        <v>79034.137000000002</v>
      </c>
    </row>
    <row r="6" spans="1:20" hidden="1">
      <c r="A6" s="9" t="str">
        <f t="shared" ref="A6:A18" si="0">CONCATENATE($A$5,".",B6)</f>
        <v>1.1.1.1</v>
      </c>
      <c r="B6" s="9">
        <v>1</v>
      </c>
      <c r="C6" s="10" t="s">
        <v>34</v>
      </c>
      <c r="D6" s="11" t="s">
        <v>24</v>
      </c>
      <c r="E6" s="11" t="s">
        <v>29</v>
      </c>
      <c r="F6" s="15" t="str">
        <f>IF(Tabla15[[#This Row],[Columna1]]="","actividad","subactividad")</f>
        <v>subactividad</v>
      </c>
      <c r="G6" s="12"/>
      <c r="H6" s="19">
        <f>IF(Tabla15[[#This Row],[Duracion ideal (dia)]]="",H5,I5)</f>
        <v>45943</v>
      </c>
      <c r="I6" s="19">
        <f>IF(Tabla15[[#This Row],[Duracion ideal (dia)]]="",I5,Tabla15[[#This Row],[Inicio ideal]]+Tabla15[[#This Row],[Duracion ideal (dia)]])</f>
        <v>45944</v>
      </c>
      <c r="J6" s="12"/>
      <c r="K6" s="19">
        <f>IF(Tabla15[[#This Row],[Duracion Real (dia)]]="",K5,L5)</f>
        <v>45943</v>
      </c>
      <c r="L6" s="19">
        <f>IF(Tabla15[[#This Row],[Duracion Real (dia)]]="",L5,Tabla15[[#This Row],[Inicio Real]]+Tabla15[[#This Row],[Duracion Real (dia)]])</f>
        <v>45945</v>
      </c>
      <c r="M6" s="12"/>
      <c r="N6" s="19" t="s">
        <v>35</v>
      </c>
      <c r="O6" s="13" t="s">
        <v>35</v>
      </c>
      <c r="P6" s="13" t="s">
        <v>35</v>
      </c>
      <c r="Q6" s="13" t="s">
        <v>35</v>
      </c>
      <c r="R6" s="13" t="s">
        <v>35</v>
      </c>
      <c r="S6" s="13" t="s">
        <v>35</v>
      </c>
      <c r="T6" s="13" t="s">
        <v>35</v>
      </c>
    </row>
    <row r="7" spans="1:20" hidden="1">
      <c r="A7" s="9" t="str">
        <f t="shared" si="0"/>
        <v>1.1.1.2</v>
      </c>
      <c r="B7" s="9">
        <v>2</v>
      </c>
      <c r="C7" s="20" t="s">
        <v>36</v>
      </c>
      <c r="D7" s="15" t="s">
        <v>24</v>
      </c>
      <c r="E7" s="15" t="s">
        <v>29</v>
      </c>
      <c r="F7" s="15" t="str">
        <f>IF(Tabla15[[#This Row],[Columna1]]="","actividad","subactividad")</f>
        <v>subactividad</v>
      </c>
      <c r="G7" s="16"/>
      <c r="H7" s="19">
        <v>45943</v>
      </c>
      <c r="I7" s="19">
        <f>IF(Tabla15[[#This Row],[Duracion ideal (dia)]]="",I6,Tabla15[[#This Row],[Inicio ideal]]+Tabla15[[#This Row],[Duracion ideal (dia)]])</f>
        <v>45944</v>
      </c>
      <c r="J7" s="16"/>
      <c r="K7" s="19">
        <f>IF(Tabla15[[#This Row],[Duracion Real (dia)]]="",K6,L6)</f>
        <v>45943</v>
      </c>
      <c r="L7" s="19">
        <f>IF(Tabla15[[#This Row],[Duracion Real (dia)]]="",L6,Tabla15[[#This Row],[Inicio Real]]+Tabla15[[#This Row],[Duracion Real (dia)]])</f>
        <v>45945</v>
      </c>
      <c r="M7" s="16"/>
      <c r="N7" s="19" t="s">
        <v>35</v>
      </c>
      <c r="O7" s="13" t="s">
        <v>35</v>
      </c>
      <c r="P7" s="13" t="s">
        <v>35</v>
      </c>
      <c r="Q7" s="13" t="s">
        <v>35</v>
      </c>
      <c r="R7" s="13" t="s">
        <v>35</v>
      </c>
      <c r="S7" s="13" t="s">
        <v>35</v>
      </c>
      <c r="T7" s="13" t="s">
        <v>35</v>
      </c>
    </row>
    <row r="8" spans="1:20" hidden="1">
      <c r="A8" s="9" t="str">
        <f t="shared" si="0"/>
        <v>1.1.1.3</v>
      </c>
      <c r="B8" s="9">
        <v>3</v>
      </c>
      <c r="C8" s="10" t="s">
        <v>37</v>
      </c>
      <c r="D8" s="11" t="s">
        <v>24</v>
      </c>
      <c r="E8" s="11" t="s">
        <v>29</v>
      </c>
      <c r="F8" s="15" t="str">
        <f>IF(Tabla15[[#This Row],[Columna1]]="","actividad","subactividad")</f>
        <v>subactividad</v>
      </c>
      <c r="G8" s="12"/>
      <c r="H8" s="19">
        <v>45943</v>
      </c>
      <c r="I8" s="19">
        <f>IF(Tabla15[[#This Row],[Duracion ideal (dia)]]="",I7,Tabla15[[#This Row],[Inicio ideal]]+Tabla15[[#This Row],[Duracion ideal (dia)]])</f>
        <v>45944</v>
      </c>
      <c r="J8" s="12"/>
      <c r="K8" s="19">
        <f>IF(Tabla15[[#This Row],[Duracion Real (dia)]]="",K7,L7)</f>
        <v>45943</v>
      </c>
      <c r="L8" s="19">
        <f>IF(Tabla15[[#This Row],[Duracion Real (dia)]]="",L7,Tabla15[[#This Row],[Inicio Real]]+Tabla15[[#This Row],[Duracion Real (dia)]])</f>
        <v>45945</v>
      </c>
      <c r="M8" s="12"/>
      <c r="N8" s="19" t="s">
        <v>35</v>
      </c>
      <c r="O8" s="13" t="s">
        <v>35</v>
      </c>
      <c r="P8" s="13" t="s">
        <v>35</v>
      </c>
      <c r="Q8" s="13" t="s">
        <v>35</v>
      </c>
      <c r="R8" s="13" t="s">
        <v>35</v>
      </c>
      <c r="S8" s="13" t="s">
        <v>35</v>
      </c>
      <c r="T8" s="13" t="s">
        <v>35</v>
      </c>
    </row>
    <row r="9" spans="1:20" hidden="1">
      <c r="A9" s="9" t="str">
        <f t="shared" si="0"/>
        <v>1.1.1.4</v>
      </c>
      <c r="B9" s="9">
        <v>4</v>
      </c>
      <c r="C9" s="20" t="s">
        <v>38</v>
      </c>
      <c r="D9" s="15" t="s">
        <v>24</v>
      </c>
      <c r="E9" s="15" t="s">
        <v>29</v>
      </c>
      <c r="F9" s="15" t="str">
        <f>IF(Tabla15[[#This Row],[Columna1]]="","actividad","subactividad")</f>
        <v>subactividad</v>
      </c>
      <c r="G9" s="16"/>
      <c r="H9" s="19">
        <v>45943</v>
      </c>
      <c r="I9" s="19">
        <f>IF(Tabla15[[#This Row],[Duracion ideal (dia)]]="",I8,Tabla15[[#This Row],[Inicio ideal]]+Tabla15[[#This Row],[Duracion ideal (dia)]])</f>
        <v>45944</v>
      </c>
      <c r="J9" s="16"/>
      <c r="K9" s="19">
        <f>IF(Tabla15[[#This Row],[Duracion Real (dia)]]="",K8,L8)</f>
        <v>45943</v>
      </c>
      <c r="L9" s="19">
        <f>IF(Tabla15[[#This Row],[Duracion Real (dia)]]="",L8,Tabla15[[#This Row],[Inicio Real]]+Tabla15[[#This Row],[Duracion Real (dia)]])</f>
        <v>45945</v>
      </c>
      <c r="M9" s="16"/>
      <c r="N9" s="19" t="s">
        <v>35</v>
      </c>
      <c r="O9" s="13" t="s">
        <v>35</v>
      </c>
      <c r="P9" s="13" t="s">
        <v>35</v>
      </c>
      <c r="Q9" s="13" t="s">
        <v>35</v>
      </c>
      <c r="R9" s="13" t="s">
        <v>35</v>
      </c>
      <c r="S9" s="13" t="s">
        <v>35</v>
      </c>
      <c r="T9" s="13" t="s">
        <v>35</v>
      </c>
    </row>
    <row r="10" spans="1:20" hidden="1">
      <c r="A10" s="9" t="str">
        <f t="shared" si="0"/>
        <v>1.1.1.5</v>
      </c>
      <c r="B10" s="9">
        <v>5</v>
      </c>
      <c r="C10" s="10" t="s">
        <v>39</v>
      </c>
      <c r="D10" s="11" t="s">
        <v>24</v>
      </c>
      <c r="E10" s="11" t="s">
        <v>29</v>
      </c>
      <c r="F10" s="15" t="str">
        <f>IF(Tabla15[[#This Row],[Columna1]]="","actividad","subactividad")</f>
        <v>subactividad</v>
      </c>
      <c r="G10" s="12"/>
      <c r="H10" s="19">
        <v>45943</v>
      </c>
      <c r="I10" s="19">
        <f>IF(Tabla15[[#This Row],[Duracion ideal (dia)]]="",I9,Tabla15[[#This Row],[Inicio ideal]]+Tabla15[[#This Row],[Duracion ideal (dia)]])</f>
        <v>45944</v>
      </c>
      <c r="J10" s="12"/>
      <c r="K10" s="19">
        <f>IF(Tabla15[[#This Row],[Duracion Real (dia)]]="",K9,L9)</f>
        <v>45943</v>
      </c>
      <c r="L10" s="19">
        <f>IF(Tabla15[[#This Row],[Duracion Real (dia)]]="",L9,Tabla15[[#This Row],[Inicio Real]]+Tabla15[[#This Row],[Duracion Real (dia)]])</f>
        <v>45945</v>
      </c>
      <c r="M10" s="12"/>
      <c r="N10" s="19" t="s">
        <v>35</v>
      </c>
      <c r="O10" s="13" t="s">
        <v>35</v>
      </c>
      <c r="P10" s="13" t="s">
        <v>35</v>
      </c>
      <c r="Q10" s="13" t="s">
        <v>35</v>
      </c>
      <c r="R10" s="13" t="s">
        <v>35</v>
      </c>
      <c r="S10" s="13" t="s">
        <v>35</v>
      </c>
      <c r="T10" s="13" t="s">
        <v>35</v>
      </c>
    </row>
    <row r="11" spans="1:20" hidden="1">
      <c r="A11" s="9" t="str">
        <f t="shared" si="0"/>
        <v>1.1.1.6</v>
      </c>
      <c r="B11" s="9">
        <v>6</v>
      </c>
      <c r="C11" s="20" t="s">
        <v>40</v>
      </c>
      <c r="D11" s="15" t="s">
        <v>24</v>
      </c>
      <c r="E11" s="15" t="s">
        <v>29</v>
      </c>
      <c r="F11" s="15" t="str">
        <f>IF(Tabla15[[#This Row],[Columna1]]="","actividad","subactividad")</f>
        <v>subactividad</v>
      </c>
      <c r="G11" s="16"/>
      <c r="H11" s="19">
        <v>45943</v>
      </c>
      <c r="I11" s="19">
        <f>IF(Tabla15[[#This Row],[Duracion ideal (dia)]]="",I10,Tabla15[[#This Row],[Inicio ideal]]+Tabla15[[#This Row],[Duracion ideal (dia)]])</f>
        <v>45944</v>
      </c>
      <c r="J11" s="16"/>
      <c r="K11" s="19">
        <f>IF(Tabla15[[#This Row],[Duracion Real (dia)]]="",K10,L10)</f>
        <v>45943</v>
      </c>
      <c r="L11" s="19">
        <f>IF(Tabla15[[#This Row],[Duracion Real (dia)]]="",L10,Tabla15[[#This Row],[Inicio Real]]+Tabla15[[#This Row],[Duracion Real (dia)]])</f>
        <v>45945</v>
      </c>
      <c r="M11" s="16"/>
      <c r="N11" s="19" t="s">
        <v>35</v>
      </c>
      <c r="O11" s="13" t="s">
        <v>35</v>
      </c>
      <c r="P11" s="13" t="s">
        <v>35</v>
      </c>
      <c r="Q11" s="13" t="s">
        <v>35</v>
      </c>
      <c r="R11" s="13" t="s">
        <v>35</v>
      </c>
      <c r="S11" s="13" t="s">
        <v>35</v>
      </c>
      <c r="T11" s="13" t="s">
        <v>35</v>
      </c>
    </row>
    <row r="12" spans="1:20" hidden="1">
      <c r="A12" s="9" t="str">
        <f t="shared" si="0"/>
        <v>1.1.1.7</v>
      </c>
      <c r="B12" s="9">
        <v>7</v>
      </c>
      <c r="C12" s="10" t="s">
        <v>41</v>
      </c>
      <c r="D12" s="11" t="s">
        <v>24</v>
      </c>
      <c r="E12" s="11" t="s">
        <v>29</v>
      </c>
      <c r="F12" s="15" t="str">
        <f>IF(Tabla15[[#This Row],[Columna1]]="","actividad","subactividad")</f>
        <v>subactividad</v>
      </c>
      <c r="G12" s="12"/>
      <c r="H12" s="19">
        <v>45943</v>
      </c>
      <c r="I12" s="19">
        <f>IF(Tabla15[[#This Row],[Duracion ideal (dia)]]="",I11,Tabla15[[#This Row],[Inicio ideal]]+Tabla15[[#This Row],[Duracion ideal (dia)]])</f>
        <v>45944</v>
      </c>
      <c r="J12" s="12"/>
      <c r="K12" s="19">
        <f>IF(Tabla15[[#This Row],[Duracion Real (dia)]]="",K11,L11)</f>
        <v>45943</v>
      </c>
      <c r="L12" s="19">
        <f>IF(Tabla15[[#This Row],[Duracion Real (dia)]]="",L11,Tabla15[[#This Row],[Inicio Real]]+Tabla15[[#This Row],[Duracion Real (dia)]])</f>
        <v>45945</v>
      </c>
      <c r="M12" s="12"/>
      <c r="N12" s="19" t="s">
        <v>35</v>
      </c>
      <c r="O12" s="13" t="s">
        <v>35</v>
      </c>
      <c r="P12" s="13" t="s">
        <v>35</v>
      </c>
      <c r="Q12" s="13" t="s">
        <v>35</v>
      </c>
      <c r="R12" s="13" t="s">
        <v>35</v>
      </c>
      <c r="S12" s="13" t="s">
        <v>35</v>
      </c>
      <c r="T12" s="13" t="s">
        <v>35</v>
      </c>
    </row>
    <row r="13" spans="1:20" hidden="1">
      <c r="A13" s="9" t="str">
        <f t="shared" si="0"/>
        <v>1.1.1.8</v>
      </c>
      <c r="B13" s="9">
        <v>8</v>
      </c>
      <c r="C13" s="20" t="s">
        <v>42</v>
      </c>
      <c r="D13" s="15" t="s">
        <v>24</v>
      </c>
      <c r="E13" s="15" t="s">
        <v>29</v>
      </c>
      <c r="F13" s="15" t="str">
        <f>IF(Tabla15[[#This Row],[Columna1]]="","actividad","subactividad")</f>
        <v>subactividad</v>
      </c>
      <c r="G13" s="16"/>
      <c r="H13" s="19">
        <v>45943</v>
      </c>
      <c r="I13" s="19">
        <f>IF(Tabla15[[#This Row],[Duracion ideal (dia)]]="",I12,Tabla15[[#This Row],[Inicio ideal]]+Tabla15[[#This Row],[Duracion ideal (dia)]])</f>
        <v>45944</v>
      </c>
      <c r="J13" s="16"/>
      <c r="K13" s="19">
        <f>IF(Tabla15[[#This Row],[Duracion Real (dia)]]="",K12,L12)</f>
        <v>45943</v>
      </c>
      <c r="L13" s="19">
        <f>IF(Tabla15[[#This Row],[Duracion Real (dia)]]="",L12,Tabla15[[#This Row],[Inicio Real]]+Tabla15[[#This Row],[Duracion Real (dia)]])</f>
        <v>45945</v>
      </c>
      <c r="M13" s="16"/>
      <c r="N13" s="19" t="s">
        <v>35</v>
      </c>
      <c r="O13" s="13" t="s">
        <v>35</v>
      </c>
      <c r="P13" s="13" t="s">
        <v>35</v>
      </c>
      <c r="Q13" s="13" t="s">
        <v>35</v>
      </c>
      <c r="R13" s="13" t="s">
        <v>35</v>
      </c>
      <c r="S13" s="13" t="s">
        <v>35</v>
      </c>
      <c r="T13" s="13" t="s">
        <v>35</v>
      </c>
    </row>
    <row r="14" spans="1:20" hidden="1">
      <c r="A14" s="9" t="str">
        <f t="shared" si="0"/>
        <v>1.1.1.9</v>
      </c>
      <c r="B14" s="9">
        <v>9</v>
      </c>
      <c r="C14" s="10" t="s">
        <v>43</v>
      </c>
      <c r="D14" s="11" t="s">
        <v>24</v>
      </c>
      <c r="E14" s="11" t="s">
        <v>29</v>
      </c>
      <c r="F14" s="15" t="str">
        <f>IF(Tabla15[[#This Row],[Columna1]]="","actividad","subactividad")</f>
        <v>subactividad</v>
      </c>
      <c r="G14" s="12"/>
      <c r="H14" s="19">
        <v>45943</v>
      </c>
      <c r="I14" s="19">
        <f>IF(Tabla15[[#This Row],[Duracion ideal (dia)]]="",I13,Tabla15[[#This Row],[Inicio ideal]]+Tabla15[[#This Row],[Duracion ideal (dia)]])</f>
        <v>45944</v>
      </c>
      <c r="J14" s="12"/>
      <c r="K14" s="19">
        <f>IF(Tabla15[[#This Row],[Duracion Real (dia)]]="",K13,L13)</f>
        <v>45943</v>
      </c>
      <c r="L14" s="19">
        <f>IF(Tabla15[[#This Row],[Duracion Real (dia)]]="",L13,Tabla15[[#This Row],[Inicio Real]]+Tabla15[[#This Row],[Duracion Real (dia)]])</f>
        <v>45945</v>
      </c>
      <c r="M14" s="12"/>
      <c r="N14" s="19" t="s">
        <v>35</v>
      </c>
      <c r="O14" s="13" t="s">
        <v>35</v>
      </c>
      <c r="P14" s="13" t="s">
        <v>35</v>
      </c>
      <c r="Q14" s="13" t="s">
        <v>35</v>
      </c>
      <c r="R14" s="13" t="s">
        <v>35</v>
      </c>
      <c r="S14" s="13" t="s">
        <v>35</v>
      </c>
      <c r="T14" s="13" t="s">
        <v>35</v>
      </c>
    </row>
    <row r="15" spans="1:20" hidden="1">
      <c r="A15" s="9" t="str">
        <f t="shared" si="0"/>
        <v>1.1.1.10</v>
      </c>
      <c r="B15" s="9">
        <v>10</v>
      </c>
      <c r="C15" s="20" t="s">
        <v>44</v>
      </c>
      <c r="D15" s="15" t="s">
        <v>24</v>
      </c>
      <c r="E15" s="15" t="s">
        <v>29</v>
      </c>
      <c r="F15" s="15" t="str">
        <f>IF(Tabla15[[#This Row],[Columna1]]="","actividad","subactividad")</f>
        <v>subactividad</v>
      </c>
      <c r="G15" s="16"/>
      <c r="H15" s="19">
        <v>45943</v>
      </c>
      <c r="I15" s="19">
        <f>IF(Tabla15[[#This Row],[Duracion ideal (dia)]]="",I14,Tabla15[[#This Row],[Inicio ideal]]+Tabla15[[#This Row],[Duracion ideal (dia)]])</f>
        <v>45944</v>
      </c>
      <c r="J15" s="16"/>
      <c r="K15" s="19">
        <f>IF(Tabla15[[#This Row],[Duracion Real (dia)]]="",K14,L14)</f>
        <v>45943</v>
      </c>
      <c r="L15" s="19">
        <f>IF(Tabla15[[#This Row],[Duracion Real (dia)]]="",L14,Tabla15[[#This Row],[Inicio Real]]+Tabla15[[#This Row],[Duracion Real (dia)]])</f>
        <v>45945</v>
      </c>
      <c r="M15" s="16"/>
      <c r="N15" s="19" t="s">
        <v>35</v>
      </c>
      <c r="O15" s="13" t="s">
        <v>35</v>
      </c>
      <c r="P15" s="13" t="s">
        <v>35</v>
      </c>
      <c r="Q15" s="13" t="s">
        <v>35</v>
      </c>
      <c r="R15" s="13" t="s">
        <v>35</v>
      </c>
      <c r="S15" s="13" t="s">
        <v>35</v>
      </c>
      <c r="T15" s="13" t="s">
        <v>35</v>
      </c>
    </row>
    <row r="16" spans="1:20" hidden="1">
      <c r="A16" s="9" t="str">
        <f t="shared" si="0"/>
        <v>1.1.1.11</v>
      </c>
      <c r="B16" s="9">
        <v>11</v>
      </c>
      <c r="C16" s="10" t="s">
        <v>45</v>
      </c>
      <c r="D16" s="11" t="s">
        <v>24</v>
      </c>
      <c r="E16" s="11" t="s">
        <v>29</v>
      </c>
      <c r="F16" s="15" t="str">
        <f>IF(Tabla15[[#This Row],[Columna1]]="","actividad","subactividad")</f>
        <v>subactividad</v>
      </c>
      <c r="G16" s="12"/>
      <c r="H16" s="19">
        <v>45943</v>
      </c>
      <c r="I16" s="19">
        <f>IF(Tabla15[[#This Row],[Duracion ideal (dia)]]="",I15,Tabla15[[#This Row],[Inicio ideal]]+Tabla15[[#This Row],[Duracion ideal (dia)]])</f>
        <v>45944</v>
      </c>
      <c r="J16" s="12"/>
      <c r="K16" s="19">
        <f>IF(Tabla15[[#This Row],[Duracion Real (dia)]]="",K15,L15)</f>
        <v>45943</v>
      </c>
      <c r="L16" s="19">
        <f>IF(Tabla15[[#This Row],[Duracion Real (dia)]]="",L15,Tabla15[[#This Row],[Inicio Real]]+Tabla15[[#This Row],[Duracion Real (dia)]])</f>
        <v>45945</v>
      </c>
      <c r="M16" s="12"/>
      <c r="N16" s="19" t="s">
        <v>35</v>
      </c>
      <c r="O16" s="13" t="s">
        <v>35</v>
      </c>
      <c r="P16" s="13" t="s">
        <v>35</v>
      </c>
      <c r="Q16" s="13" t="s">
        <v>35</v>
      </c>
      <c r="R16" s="13" t="s">
        <v>35</v>
      </c>
      <c r="S16" s="13" t="s">
        <v>35</v>
      </c>
      <c r="T16" s="13" t="s">
        <v>35</v>
      </c>
    </row>
    <row r="17" spans="1:20" hidden="1">
      <c r="A17" s="9" t="str">
        <f t="shared" si="0"/>
        <v>1.1.1.12</v>
      </c>
      <c r="B17" s="9">
        <v>12</v>
      </c>
      <c r="C17" s="20" t="s">
        <v>46</v>
      </c>
      <c r="D17" s="15" t="s">
        <v>24</v>
      </c>
      <c r="E17" s="15" t="s">
        <v>29</v>
      </c>
      <c r="F17" s="15" t="str">
        <f>IF(Tabla15[[#This Row],[Columna1]]="","actividad","subactividad")</f>
        <v>subactividad</v>
      </c>
      <c r="G17" s="16"/>
      <c r="H17" s="19">
        <v>45943</v>
      </c>
      <c r="I17" s="19">
        <f>IF(Tabla15[[#This Row],[Duracion ideal (dia)]]="",I16,Tabla15[[#This Row],[Inicio ideal]]+Tabla15[[#This Row],[Duracion ideal (dia)]])</f>
        <v>45944</v>
      </c>
      <c r="J17" s="16"/>
      <c r="K17" s="19">
        <f>IF(Tabla15[[#This Row],[Duracion Real (dia)]]="",K16,L16)</f>
        <v>45943</v>
      </c>
      <c r="L17" s="19">
        <f>IF(Tabla15[[#This Row],[Duracion Real (dia)]]="",L16,Tabla15[[#This Row],[Inicio Real]]+Tabla15[[#This Row],[Duracion Real (dia)]])</f>
        <v>45945</v>
      </c>
      <c r="M17" s="16"/>
      <c r="N17" s="19" t="s">
        <v>35</v>
      </c>
      <c r="O17" s="13" t="s">
        <v>35</v>
      </c>
      <c r="P17" s="13" t="s">
        <v>35</v>
      </c>
      <c r="Q17" s="13" t="s">
        <v>35</v>
      </c>
      <c r="R17" s="13" t="s">
        <v>35</v>
      </c>
      <c r="S17" s="13" t="s">
        <v>35</v>
      </c>
      <c r="T17" s="13" t="s">
        <v>35</v>
      </c>
    </row>
    <row r="18" spans="1:20" hidden="1">
      <c r="A18" s="9" t="str">
        <f t="shared" si="0"/>
        <v>1.1.1.13</v>
      </c>
      <c r="B18" s="9">
        <v>13</v>
      </c>
      <c r="C18" s="10" t="s">
        <v>47</v>
      </c>
      <c r="D18" s="11" t="s">
        <v>24</v>
      </c>
      <c r="E18" s="11" t="s">
        <v>29</v>
      </c>
      <c r="F18" s="15" t="str">
        <f>IF(Tabla15[[#This Row],[Columna1]]="","actividad","subactividad")</f>
        <v>subactividad</v>
      </c>
      <c r="G18" s="12"/>
      <c r="H18" s="19">
        <v>45943</v>
      </c>
      <c r="I18" s="19">
        <f>IF(Tabla15[[#This Row],[Duracion ideal (dia)]]="",I17,Tabla15[[#This Row],[Inicio ideal]]+Tabla15[[#This Row],[Duracion ideal (dia)]])</f>
        <v>45944</v>
      </c>
      <c r="J18" s="12"/>
      <c r="K18" s="19">
        <f>IF(Tabla15[[#This Row],[Duracion Real (dia)]]="",K17,L17)</f>
        <v>45943</v>
      </c>
      <c r="L18" s="19">
        <f>IF(Tabla15[[#This Row],[Duracion Real (dia)]]="",L17,Tabla15[[#This Row],[Inicio Real]]+Tabla15[[#This Row],[Duracion Real (dia)]])</f>
        <v>45945</v>
      </c>
      <c r="M18" s="12"/>
      <c r="N18" s="19" t="s">
        <v>35</v>
      </c>
      <c r="O18" s="13" t="s">
        <v>35</v>
      </c>
      <c r="P18" s="13" t="s">
        <v>35</v>
      </c>
      <c r="Q18" s="13" t="s">
        <v>35</v>
      </c>
      <c r="R18" s="13" t="s">
        <v>35</v>
      </c>
      <c r="S18" s="13" t="s">
        <v>35</v>
      </c>
      <c r="T18" s="13" t="s">
        <v>35</v>
      </c>
    </row>
    <row r="19" spans="1:20">
      <c r="A19" s="9" t="s">
        <v>48</v>
      </c>
      <c r="B19" s="9"/>
      <c r="C19" s="21" t="s">
        <v>49</v>
      </c>
      <c r="D19" s="15" t="s">
        <v>24</v>
      </c>
      <c r="E19" s="15" t="s">
        <v>29</v>
      </c>
      <c r="F19" s="15" t="str">
        <f>IF(Tabla15[[#This Row],[Columna1]]="","actividad","subactividad")</f>
        <v>actividad</v>
      </c>
      <c r="G19" s="16" t="s">
        <v>32</v>
      </c>
      <c r="H19" s="19">
        <f>I5</f>
        <v>45944</v>
      </c>
      <c r="I19" s="19">
        <f>IF(Tabla15[[#This Row],[Duracion ideal (dia)]]="",I18,Tabla15[[#This Row],[Inicio ideal]]+Tabla15[[#This Row],[Duracion ideal (dia)]])</f>
        <v>45945</v>
      </c>
      <c r="J19" s="16">
        <v>1</v>
      </c>
      <c r="K19" s="19">
        <f>IF(Tabla15[[#This Row],[Duracion Real (dia)]]="",K18,L18)</f>
        <v>45945</v>
      </c>
      <c r="L19" s="19">
        <f>IF(Tabla15[[#This Row],[Duracion Real (dia)]]="",L18,Tabla15[[#This Row],[Inicio Real]]+Tabla15[[#This Row],[Duracion Real (dia)]])</f>
        <v>45947</v>
      </c>
      <c r="M19" s="16">
        <v>2</v>
      </c>
      <c r="N19" s="19" t="s">
        <v>33</v>
      </c>
      <c r="O19" s="13">
        <v>60795.49</v>
      </c>
      <c r="P19" s="13">
        <v>1246.1500000000001</v>
      </c>
      <c r="Q19" s="13">
        <v>62041.64</v>
      </c>
      <c r="R19" s="13">
        <v>62041.64</v>
      </c>
      <c r="S19" s="13">
        <v>79034.137000000002</v>
      </c>
      <c r="T19" s="13">
        <v>79034.137000000002</v>
      </c>
    </row>
    <row r="20" spans="1:20" hidden="1">
      <c r="A20" s="9" t="str">
        <f t="shared" ref="A20:A27" si="1">CONCATENATE($A$19,".",B20)</f>
        <v>1.1.2.1</v>
      </c>
      <c r="B20" s="9">
        <v>1</v>
      </c>
      <c r="C20" s="10" t="s">
        <v>50</v>
      </c>
      <c r="D20" s="11" t="s">
        <v>24</v>
      </c>
      <c r="E20" s="11" t="s">
        <v>29</v>
      </c>
      <c r="F20" s="15" t="str">
        <f>IF(Tabla15[[#This Row],[Columna1]]="","actividad","subactividad")</f>
        <v>subactividad</v>
      </c>
      <c r="G20" s="12"/>
      <c r="H20" s="19">
        <v>45944</v>
      </c>
      <c r="I20" s="19">
        <f>IF(Tabla15[[#This Row],[Duracion ideal (dia)]]="",I19,Tabla15[[#This Row],[Inicio ideal]]+Tabla15[[#This Row],[Duracion ideal (dia)]])</f>
        <v>45945</v>
      </c>
      <c r="J20" s="12"/>
      <c r="K20" s="19">
        <f>IF(Tabla15[[#This Row],[Duracion Real (dia)]]="",K19,L19)</f>
        <v>45945</v>
      </c>
      <c r="L20" s="19">
        <f>IF(Tabla15[[#This Row],[Duracion Real (dia)]]="",L19,Tabla15[[#This Row],[Inicio Real]]+Tabla15[[#This Row],[Duracion Real (dia)]])</f>
        <v>45947</v>
      </c>
      <c r="M20" s="12"/>
      <c r="N20" s="19" t="s">
        <v>35</v>
      </c>
      <c r="O20" s="13" t="s">
        <v>35</v>
      </c>
      <c r="P20" s="13" t="s">
        <v>35</v>
      </c>
      <c r="Q20" s="13" t="s">
        <v>35</v>
      </c>
      <c r="R20" s="13" t="s">
        <v>35</v>
      </c>
      <c r="S20" s="13" t="s">
        <v>35</v>
      </c>
      <c r="T20" s="13" t="s">
        <v>35</v>
      </c>
    </row>
    <row r="21" spans="1:20" hidden="1">
      <c r="A21" s="9" t="str">
        <f t="shared" si="1"/>
        <v>1.1.2.2</v>
      </c>
      <c r="B21" s="9">
        <v>2</v>
      </c>
      <c r="C21" s="20" t="s">
        <v>51</v>
      </c>
      <c r="D21" s="15" t="s">
        <v>24</v>
      </c>
      <c r="E21" s="15" t="s">
        <v>29</v>
      </c>
      <c r="F21" s="15" t="str">
        <f>IF(Tabla15[[#This Row],[Columna1]]="","actividad","subactividad")</f>
        <v>subactividad</v>
      </c>
      <c r="G21" s="16"/>
      <c r="H21" s="19">
        <v>45944</v>
      </c>
      <c r="I21" s="19">
        <f>IF(Tabla15[[#This Row],[Duracion ideal (dia)]]="",I20,Tabla15[[#This Row],[Inicio ideal]]+Tabla15[[#This Row],[Duracion ideal (dia)]])</f>
        <v>45945</v>
      </c>
      <c r="J21" s="16"/>
      <c r="K21" s="19">
        <f>IF(Tabla15[[#This Row],[Duracion Real (dia)]]="",K20,L20)</f>
        <v>45945</v>
      </c>
      <c r="L21" s="19">
        <f>IF(Tabla15[[#This Row],[Duracion Real (dia)]]="",L20,Tabla15[[#This Row],[Inicio Real]]+Tabla15[[#This Row],[Duracion Real (dia)]])</f>
        <v>45947</v>
      </c>
      <c r="M21" s="16"/>
      <c r="N21" s="19" t="s">
        <v>35</v>
      </c>
      <c r="O21" s="13" t="s">
        <v>35</v>
      </c>
      <c r="P21" s="13" t="s">
        <v>35</v>
      </c>
      <c r="Q21" s="13" t="s">
        <v>35</v>
      </c>
      <c r="R21" s="13" t="s">
        <v>35</v>
      </c>
      <c r="S21" s="13" t="s">
        <v>35</v>
      </c>
      <c r="T21" s="13" t="s">
        <v>35</v>
      </c>
    </row>
    <row r="22" spans="1:20" hidden="1">
      <c r="A22" s="9" t="str">
        <f t="shared" si="1"/>
        <v>1.1.2.3</v>
      </c>
      <c r="B22" s="9">
        <v>3</v>
      </c>
      <c r="C22" s="10" t="s">
        <v>52</v>
      </c>
      <c r="D22" s="11" t="s">
        <v>24</v>
      </c>
      <c r="E22" s="11" t="s">
        <v>29</v>
      </c>
      <c r="F22" s="15" t="str">
        <f>IF(Tabla15[[#This Row],[Columna1]]="","actividad","subactividad")</f>
        <v>subactividad</v>
      </c>
      <c r="G22" s="12"/>
      <c r="H22" s="19">
        <v>45944</v>
      </c>
      <c r="I22" s="19">
        <f>IF(Tabla15[[#This Row],[Duracion ideal (dia)]]="",I21,Tabla15[[#This Row],[Inicio ideal]]+Tabla15[[#This Row],[Duracion ideal (dia)]])</f>
        <v>45945</v>
      </c>
      <c r="J22" s="12"/>
      <c r="K22" s="19">
        <f>IF(Tabla15[[#This Row],[Duracion Real (dia)]]="",K21,L21)</f>
        <v>45945</v>
      </c>
      <c r="L22" s="19">
        <f>IF(Tabla15[[#This Row],[Duracion Real (dia)]]="",L21,Tabla15[[#This Row],[Inicio Real]]+Tabla15[[#This Row],[Duracion Real (dia)]])</f>
        <v>45947</v>
      </c>
      <c r="M22" s="12"/>
      <c r="N22" s="19" t="s">
        <v>35</v>
      </c>
      <c r="O22" s="13" t="s">
        <v>35</v>
      </c>
      <c r="P22" s="13" t="s">
        <v>35</v>
      </c>
      <c r="Q22" s="13" t="s">
        <v>35</v>
      </c>
      <c r="R22" s="13" t="s">
        <v>35</v>
      </c>
      <c r="S22" s="13" t="s">
        <v>35</v>
      </c>
      <c r="T22" s="13" t="s">
        <v>35</v>
      </c>
    </row>
    <row r="23" spans="1:20" hidden="1">
      <c r="A23" s="9" t="str">
        <f t="shared" si="1"/>
        <v>1.1.2.4</v>
      </c>
      <c r="B23" s="9">
        <v>4</v>
      </c>
      <c r="C23" s="20" t="s">
        <v>53</v>
      </c>
      <c r="D23" s="15" t="s">
        <v>24</v>
      </c>
      <c r="E23" s="15" t="s">
        <v>29</v>
      </c>
      <c r="F23" s="15" t="str">
        <f>IF(Tabla15[[#This Row],[Columna1]]="","actividad","subactividad")</f>
        <v>subactividad</v>
      </c>
      <c r="G23" s="16"/>
      <c r="H23" s="19">
        <v>45944</v>
      </c>
      <c r="I23" s="19">
        <f>IF(Tabla15[[#This Row],[Duracion ideal (dia)]]="",I22,Tabla15[[#This Row],[Inicio ideal]]+Tabla15[[#This Row],[Duracion ideal (dia)]])</f>
        <v>45945</v>
      </c>
      <c r="J23" s="16"/>
      <c r="K23" s="19">
        <f>IF(Tabla15[[#This Row],[Duracion Real (dia)]]="",K22,L22)</f>
        <v>45945</v>
      </c>
      <c r="L23" s="19">
        <f>IF(Tabla15[[#This Row],[Duracion Real (dia)]]="",L22,Tabla15[[#This Row],[Inicio Real]]+Tabla15[[#This Row],[Duracion Real (dia)]])</f>
        <v>45947</v>
      </c>
      <c r="M23" s="16"/>
      <c r="N23" s="19" t="s">
        <v>35</v>
      </c>
      <c r="O23" s="13" t="s">
        <v>35</v>
      </c>
      <c r="P23" s="13" t="s">
        <v>35</v>
      </c>
      <c r="Q23" s="13" t="s">
        <v>35</v>
      </c>
      <c r="R23" s="13" t="s">
        <v>35</v>
      </c>
      <c r="S23" s="13" t="s">
        <v>35</v>
      </c>
      <c r="T23" s="13" t="s">
        <v>35</v>
      </c>
    </row>
    <row r="24" spans="1:20" hidden="1">
      <c r="A24" s="9" t="str">
        <f t="shared" si="1"/>
        <v>1.1.2.5</v>
      </c>
      <c r="B24" s="9">
        <v>5</v>
      </c>
      <c r="C24" s="10" t="s">
        <v>54</v>
      </c>
      <c r="D24" s="11" t="s">
        <v>24</v>
      </c>
      <c r="E24" s="11" t="s">
        <v>29</v>
      </c>
      <c r="F24" s="15" t="str">
        <f>IF(Tabla15[[#This Row],[Columna1]]="","actividad","subactividad")</f>
        <v>subactividad</v>
      </c>
      <c r="G24" s="12"/>
      <c r="H24" s="19">
        <v>45944</v>
      </c>
      <c r="I24" s="19">
        <f>IF(Tabla15[[#This Row],[Duracion ideal (dia)]]="",I23,Tabla15[[#This Row],[Inicio ideal]]+Tabla15[[#This Row],[Duracion ideal (dia)]])</f>
        <v>45945</v>
      </c>
      <c r="J24" s="12"/>
      <c r="K24" s="19">
        <f>IF(Tabla15[[#This Row],[Duracion Real (dia)]]="",K23,L23)</f>
        <v>45945</v>
      </c>
      <c r="L24" s="19">
        <f>IF(Tabla15[[#This Row],[Duracion Real (dia)]]="",L23,Tabla15[[#This Row],[Inicio Real]]+Tabla15[[#This Row],[Duracion Real (dia)]])</f>
        <v>45947</v>
      </c>
      <c r="M24" s="12"/>
      <c r="N24" s="19" t="s">
        <v>35</v>
      </c>
      <c r="O24" s="13" t="s">
        <v>35</v>
      </c>
      <c r="P24" s="13" t="s">
        <v>35</v>
      </c>
      <c r="Q24" s="13" t="s">
        <v>35</v>
      </c>
      <c r="R24" s="13" t="s">
        <v>35</v>
      </c>
      <c r="S24" s="13" t="s">
        <v>35</v>
      </c>
      <c r="T24" s="13" t="s">
        <v>35</v>
      </c>
    </row>
    <row r="25" spans="1:20" hidden="1">
      <c r="A25" s="9" t="str">
        <f t="shared" si="1"/>
        <v>1.1.2.6</v>
      </c>
      <c r="B25" s="9">
        <v>6</v>
      </c>
      <c r="C25" s="20" t="s">
        <v>55</v>
      </c>
      <c r="D25" s="15" t="s">
        <v>24</v>
      </c>
      <c r="E25" s="15" t="s">
        <v>29</v>
      </c>
      <c r="F25" s="15" t="str">
        <f>IF(Tabla15[[#This Row],[Columna1]]="","actividad","subactividad")</f>
        <v>subactividad</v>
      </c>
      <c r="G25" s="16"/>
      <c r="H25" s="19">
        <v>45944</v>
      </c>
      <c r="I25" s="19">
        <f>IF(Tabla15[[#This Row],[Duracion ideal (dia)]]="",I24,Tabla15[[#This Row],[Inicio ideal]]+Tabla15[[#This Row],[Duracion ideal (dia)]])</f>
        <v>45945</v>
      </c>
      <c r="J25" s="16"/>
      <c r="K25" s="19">
        <f>IF(Tabla15[[#This Row],[Duracion Real (dia)]]="",K24,L24)</f>
        <v>45945</v>
      </c>
      <c r="L25" s="19">
        <f>IF(Tabla15[[#This Row],[Duracion Real (dia)]]="",L24,Tabla15[[#This Row],[Inicio Real]]+Tabla15[[#This Row],[Duracion Real (dia)]])</f>
        <v>45947</v>
      </c>
      <c r="M25" s="16"/>
      <c r="N25" s="19" t="s">
        <v>35</v>
      </c>
      <c r="O25" s="13" t="s">
        <v>35</v>
      </c>
      <c r="P25" s="13" t="s">
        <v>35</v>
      </c>
      <c r="Q25" s="13" t="s">
        <v>35</v>
      </c>
      <c r="R25" s="13" t="s">
        <v>35</v>
      </c>
      <c r="S25" s="13" t="s">
        <v>35</v>
      </c>
      <c r="T25" s="13" t="s">
        <v>35</v>
      </c>
    </row>
    <row r="26" spans="1:20" hidden="1">
      <c r="A26" s="9" t="str">
        <f t="shared" si="1"/>
        <v>1.1.2.7</v>
      </c>
      <c r="B26" s="9">
        <v>7</v>
      </c>
      <c r="C26" s="10" t="s">
        <v>56</v>
      </c>
      <c r="D26" s="11" t="s">
        <v>24</v>
      </c>
      <c r="E26" s="11" t="s">
        <v>29</v>
      </c>
      <c r="F26" s="15" t="str">
        <f>IF(Tabla15[[#This Row],[Columna1]]="","actividad","subactividad")</f>
        <v>subactividad</v>
      </c>
      <c r="G26" s="12"/>
      <c r="H26" s="19">
        <v>45944</v>
      </c>
      <c r="I26" s="19">
        <f>IF(Tabla15[[#This Row],[Duracion ideal (dia)]]="",I25,Tabla15[[#This Row],[Inicio ideal]]+Tabla15[[#This Row],[Duracion ideal (dia)]])</f>
        <v>45945</v>
      </c>
      <c r="J26" s="12"/>
      <c r="K26" s="19">
        <f>IF(Tabla15[[#This Row],[Duracion Real (dia)]]="",K25,L25)</f>
        <v>45945</v>
      </c>
      <c r="L26" s="19">
        <f>IF(Tabla15[[#This Row],[Duracion Real (dia)]]="",L25,Tabla15[[#This Row],[Inicio Real]]+Tabla15[[#This Row],[Duracion Real (dia)]])</f>
        <v>45947</v>
      </c>
      <c r="M26" s="12"/>
      <c r="N26" s="19" t="s">
        <v>35</v>
      </c>
      <c r="O26" s="13" t="s">
        <v>35</v>
      </c>
      <c r="P26" s="13" t="s">
        <v>35</v>
      </c>
      <c r="Q26" s="13" t="s">
        <v>35</v>
      </c>
      <c r="R26" s="13" t="s">
        <v>35</v>
      </c>
      <c r="S26" s="13" t="s">
        <v>35</v>
      </c>
      <c r="T26" s="13" t="s">
        <v>35</v>
      </c>
    </row>
    <row r="27" spans="1:20" hidden="1">
      <c r="A27" s="9" t="str">
        <f t="shared" si="1"/>
        <v>1.1.2.8</v>
      </c>
      <c r="B27" s="9">
        <v>8</v>
      </c>
      <c r="C27" s="20" t="s">
        <v>57</v>
      </c>
      <c r="D27" s="15" t="s">
        <v>24</v>
      </c>
      <c r="E27" s="15" t="s">
        <v>29</v>
      </c>
      <c r="F27" s="15" t="str">
        <f>IF(Tabla15[[#This Row],[Columna1]]="","actividad","subactividad")</f>
        <v>subactividad</v>
      </c>
      <c r="G27" s="16"/>
      <c r="H27" s="19">
        <v>45944</v>
      </c>
      <c r="I27" s="19">
        <f>IF(Tabla15[[#This Row],[Duracion ideal (dia)]]="",I26,Tabla15[[#This Row],[Inicio ideal]]+Tabla15[[#This Row],[Duracion ideal (dia)]])</f>
        <v>45945</v>
      </c>
      <c r="J27" s="16"/>
      <c r="K27" s="19">
        <f>IF(Tabla15[[#This Row],[Duracion Real (dia)]]="",K26,L26)</f>
        <v>45945</v>
      </c>
      <c r="L27" s="19">
        <f>IF(Tabla15[[#This Row],[Duracion Real (dia)]]="",L26,Tabla15[[#This Row],[Inicio Real]]+Tabla15[[#This Row],[Duracion Real (dia)]])</f>
        <v>45947</v>
      </c>
      <c r="M27" s="16"/>
      <c r="N27" s="19" t="s">
        <v>35</v>
      </c>
      <c r="O27" s="13" t="s">
        <v>35</v>
      </c>
      <c r="P27" s="13" t="s">
        <v>35</v>
      </c>
      <c r="Q27" s="13" t="s">
        <v>35</v>
      </c>
      <c r="R27" s="13" t="s">
        <v>35</v>
      </c>
      <c r="S27" s="13" t="s">
        <v>35</v>
      </c>
      <c r="T27" s="13" t="s">
        <v>35</v>
      </c>
    </row>
    <row r="28" spans="1:20">
      <c r="A28" s="9" t="s">
        <v>58</v>
      </c>
      <c r="B28" s="9"/>
      <c r="C28" s="22" t="s">
        <v>59</v>
      </c>
      <c r="D28" s="11" t="s">
        <v>24</v>
      </c>
      <c r="E28" s="11" t="s">
        <v>29</v>
      </c>
      <c r="F28" s="15" t="str">
        <f>IF(Tabla15[[#This Row],[Columna1]]="","actividad","subactividad")</f>
        <v>actividad</v>
      </c>
      <c r="G28" s="12" t="s">
        <v>32</v>
      </c>
      <c r="H28" s="19">
        <f>I27</f>
        <v>45945</v>
      </c>
      <c r="I28" s="19">
        <f>IF(Tabla15[[#This Row],[Duracion ideal (dia)]]="",I27,Tabla15[[#This Row],[Inicio ideal]]+Tabla15[[#This Row],[Duracion ideal (dia)]])</f>
        <v>45946</v>
      </c>
      <c r="J28" s="12">
        <v>1</v>
      </c>
      <c r="K28" s="19">
        <f>IF(Tabla15[[#This Row],[Duracion Real (dia)]]="",K27,L27)</f>
        <v>45947</v>
      </c>
      <c r="L28" s="19">
        <f>IF(Tabla15[[#This Row],[Duracion Real (dia)]]="",L27,Tabla15[[#This Row],[Inicio Real]]+Tabla15[[#This Row],[Duracion Real (dia)]])</f>
        <v>45949</v>
      </c>
      <c r="M28" s="12">
        <v>2</v>
      </c>
      <c r="N28" s="19" t="s">
        <v>60</v>
      </c>
      <c r="O28" s="13">
        <v>60795.49</v>
      </c>
      <c r="P28" s="13">
        <v>1384.62</v>
      </c>
      <c r="Q28" s="13">
        <v>62180.11</v>
      </c>
      <c r="R28" s="13">
        <v>62640.639999999999</v>
      </c>
      <c r="S28" s="13">
        <v>79034.137000000002</v>
      </c>
      <c r="T28" s="13">
        <v>79034.137000000002</v>
      </c>
    </row>
    <row r="29" spans="1:20" hidden="1">
      <c r="A29" s="9" t="str">
        <f t="shared" ref="A29:A34" si="2">CONCATENATE($A$28,".",B29)</f>
        <v>1.1.3.1</v>
      </c>
      <c r="B29" s="9">
        <v>1</v>
      </c>
      <c r="C29" s="20" t="s">
        <v>61</v>
      </c>
      <c r="D29" s="15" t="s">
        <v>24</v>
      </c>
      <c r="E29" s="15" t="s">
        <v>29</v>
      </c>
      <c r="F29" s="15" t="str">
        <f>IF(Tabla15[[#This Row],[Columna1]]="","actividad","subactividad")</f>
        <v>subactividad</v>
      </c>
      <c r="G29" s="16"/>
      <c r="H29" s="19">
        <v>45945</v>
      </c>
      <c r="I29" s="19">
        <f>IF(Tabla15[[#This Row],[Duracion ideal (dia)]]="",I28,Tabla15[[#This Row],[Inicio ideal]]+Tabla15[[#This Row],[Duracion ideal (dia)]])</f>
        <v>45946</v>
      </c>
      <c r="J29" s="16"/>
      <c r="K29" s="19">
        <f>IF(Tabla15[[#This Row],[Duracion Real (dia)]]="",K28,L28)</f>
        <v>45947</v>
      </c>
      <c r="L29" s="19">
        <f>IF(Tabla15[[#This Row],[Duracion Real (dia)]]="",L28,Tabla15[[#This Row],[Inicio Real]]+Tabla15[[#This Row],[Duracion Real (dia)]])</f>
        <v>45949</v>
      </c>
      <c r="M29" s="16"/>
      <c r="N29" s="19" t="s">
        <v>35</v>
      </c>
      <c r="O29" s="13" t="s">
        <v>35</v>
      </c>
      <c r="P29" s="13" t="s">
        <v>35</v>
      </c>
      <c r="Q29" s="13" t="s">
        <v>35</v>
      </c>
      <c r="R29" s="13" t="s">
        <v>35</v>
      </c>
      <c r="S29" s="13" t="s">
        <v>35</v>
      </c>
      <c r="T29" s="13" t="s">
        <v>35</v>
      </c>
    </row>
    <row r="30" spans="1:20" hidden="1">
      <c r="A30" s="9" t="str">
        <f t="shared" si="2"/>
        <v>1.1.3.2</v>
      </c>
      <c r="B30" s="9">
        <v>2</v>
      </c>
      <c r="C30" s="10" t="s">
        <v>62</v>
      </c>
      <c r="D30" s="11" t="s">
        <v>24</v>
      </c>
      <c r="E30" s="11" t="s">
        <v>29</v>
      </c>
      <c r="F30" s="15" t="str">
        <f>IF(Tabla15[[#This Row],[Columna1]]="","actividad","subactividad")</f>
        <v>subactividad</v>
      </c>
      <c r="G30" s="12"/>
      <c r="H30" s="23">
        <v>45945</v>
      </c>
      <c r="I30" s="19">
        <f>IF(Tabla15[[#This Row],[Duracion ideal (dia)]]="",I29,Tabla15[[#This Row],[Inicio ideal]]+Tabla15[[#This Row],[Duracion ideal (dia)]])</f>
        <v>45946</v>
      </c>
      <c r="J30" s="12"/>
      <c r="K30" s="19">
        <f>IF(Tabla15[[#This Row],[Duracion Real (dia)]]="",K29,L29)</f>
        <v>45947</v>
      </c>
      <c r="L30" s="19">
        <f>IF(Tabla15[[#This Row],[Duracion Real (dia)]]="",L29,Tabla15[[#This Row],[Inicio Real]]+Tabla15[[#This Row],[Duracion Real (dia)]])</f>
        <v>45949</v>
      </c>
      <c r="M30" s="12"/>
      <c r="N30" s="19" t="s">
        <v>35</v>
      </c>
      <c r="O30" s="13" t="s">
        <v>35</v>
      </c>
      <c r="P30" s="13" t="s">
        <v>35</v>
      </c>
      <c r="Q30" s="13" t="s">
        <v>35</v>
      </c>
      <c r="R30" s="13" t="s">
        <v>35</v>
      </c>
      <c r="S30" s="13" t="s">
        <v>35</v>
      </c>
      <c r="T30" s="13" t="s">
        <v>35</v>
      </c>
    </row>
    <row r="31" spans="1:20" hidden="1">
      <c r="A31" s="9" t="str">
        <f t="shared" si="2"/>
        <v>1.1.3.3</v>
      </c>
      <c r="B31" s="9">
        <v>3</v>
      </c>
      <c r="C31" s="20" t="s">
        <v>63</v>
      </c>
      <c r="D31" s="15" t="s">
        <v>24</v>
      </c>
      <c r="E31" s="15" t="s">
        <v>29</v>
      </c>
      <c r="F31" s="15" t="str">
        <f>IF(Tabla15[[#This Row],[Columna1]]="","actividad","subactividad")</f>
        <v>subactividad</v>
      </c>
      <c r="G31" s="16"/>
      <c r="H31" s="19">
        <v>45945</v>
      </c>
      <c r="I31" s="19">
        <f>IF(Tabla15[[#This Row],[Duracion ideal (dia)]]="",I30,Tabla15[[#This Row],[Inicio ideal]]+Tabla15[[#This Row],[Duracion ideal (dia)]])</f>
        <v>45946</v>
      </c>
      <c r="J31" s="16"/>
      <c r="K31" s="19">
        <f>IF(Tabla15[[#This Row],[Duracion Real (dia)]]="",K30,L30)</f>
        <v>45947</v>
      </c>
      <c r="L31" s="19">
        <f>IF(Tabla15[[#This Row],[Duracion Real (dia)]]="",L30,Tabla15[[#This Row],[Inicio Real]]+Tabla15[[#This Row],[Duracion Real (dia)]])</f>
        <v>45949</v>
      </c>
      <c r="M31" s="16"/>
      <c r="N31" s="19" t="s">
        <v>35</v>
      </c>
      <c r="O31" s="13" t="s">
        <v>35</v>
      </c>
      <c r="P31" s="13" t="s">
        <v>35</v>
      </c>
      <c r="Q31" s="13" t="s">
        <v>35</v>
      </c>
      <c r="R31" s="13" t="s">
        <v>35</v>
      </c>
      <c r="S31" s="13" t="s">
        <v>35</v>
      </c>
      <c r="T31" s="13" t="s">
        <v>35</v>
      </c>
    </row>
    <row r="32" spans="1:20" hidden="1">
      <c r="A32" s="9" t="str">
        <f t="shared" si="2"/>
        <v>1.1.3.4</v>
      </c>
      <c r="B32" s="9">
        <v>4</v>
      </c>
      <c r="C32" s="10" t="s">
        <v>64</v>
      </c>
      <c r="D32" s="11" t="s">
        <v>24</v>
      </c>
      <c r="E32" s="11" t="s">
        <v>29</v>
      </c>
      <c r="F32" s="15" t="str">
        <f>IF(Tabla15[[#This Row],[Columna1]]="","actividad","subactividad")</f>
        <v>subactividad</v>
      </c>
      <c r="G32" s="12"/>
      <c r="H32" s="23">
        <v>45945</v>
      </c>
      <c r="I32" s="19">
        <f>IF(Tabla15[[#This Row],[Duracion ideal (dia)]]="",I31,Tabla15[[#This Row],[Inicio ideal]]+Tabla15[[#This Row],[Duracion ideal (dia)]])</f>
        <v>45946</v>
      </c>
      <c r="J32" s="12"/>
      <c r="K32" s="19">
        <f>IF(Tabla15[[#This Row],[Duracion Real (dia)]]="",K31,L31)</f>
        <v>45947</v>
      </c>
      <c r="L32" s="19">
        <f>IF(Tabla15[[#This Row],[Duracion Real (dia)]]="",L31,Tabla15[[#This Row],[Inicio Real]]+Tabla15[[#This Row],[Duracion Real (dia)]])</f>
        <v>45949</v>
      </c>
      <c r="M32" s="12"/>
      <c r="N32" s="19" t="s">
        <v>35</v>
      </c>
      <c r="O32" s="13" t="s">
        <v>35</v>
      </c>
      <c r="P32" s="13" t="s">
        <v>35</v>
      </c>
      <c r="Q32" s="13" t="s">
        <v>35</v>
      </c>
      <c r="R32" s="13" t="s">
        <v>35</v>
      </c>
      <c r="S32" s="13" t="s">
        <v>35</v>
      </c>
      <c r="T32" s="13" t="s">
        <v>35</v>
      </c>
    </row>
    <row r="33" spans="1:20" hidden="1">
      <c r="A33" s="9" t="str">
        <f t="shared" si="2"/>
        <v>1.1.3.5</v>
      </c>
      <c r="B33" s="9">
        <v>5</v>
      </c>
      <c r="C33" s="20" t="s">
        <v>65</v>
      </c>
      <c r="D33" s="15" t="s">
        <v>24</v>
      </c>
      <c r="E33" s="15" t="s">
        <v>29</v>
      </c>
      <c r="F33" s="15" t="str">
        <f>IF(Tabla15[[#This Row],[Columna1]]="","actividad","subactividad")</f>
        <v>subactividad</v>
      </c>
      <c r="G33" s="16"/>
      <c r="H33" s="19">
        <v>45945</v>
      </c>
      <c r="I33" s="19">
        <f>IF(Tabla15[[#This Row],[Duracion ideal (dia)]]="",I32,Tabla15[[#This Row],[Inicio ideal]]+Tabla15[[#This Row],[Duracion ideal (dia)]])</f>
        <v>45946</v>
      </c>
      <c r="J33" s="16"/>
      <c r="K33" s="19">
        <f>IF(Tabla15[[#This Row],[Duracion Real (dia)]]="",K32,L32)</f>
        <v>45947</v>
      </c>
      <c r="L33" s="19">
        <f>IF(Tabla15[[#This Row],[Duracion Real (dia)]]="",L32,Tabla15[[#This Row],[Inicio Real]]+Tabla15[[#This Row],[Duracion Real (dia)]])</f>
        <v>45949</v>
      </c>
      <c r="M33" s="16"/>
      <c r="N33" s="19" t="s">
        <v>35</v>
      </c>
      <c r="O33" s="13" t="s">
        <v>35</v>
      </c>
      <c r="P33" s="13" t="s">
        <v>35</v>
      </c>
      <c r="Q33" s="13" t="s">
        <v>35</v>
      </c>
      <c r="R33" s="13" t="s">
        <v>35</v>
      </c>
      <c r="S33" s="13" t="s">
        <v>35</v>
      </c>
      <c r="T33" s="13" t="s">
        <v>35</v>
      </c>
    </row>
    <row r="34" spans="1:20" hidden="1">
      <c r="A34" s="9" t="str">
        <f t="shared" si="2"/>
        <v>1.1.3.6</v>
      </c>
      <c r="B34" s="9">
        <v>6</v>
      </c>
      <c r="C34" s="10" t="s">
        <v>66</v>
      </c>
      <c r="D34" s="11" t="s">
        <v>24</v>
      </c>
      <c r="E34" s="11" t="s">
        <v>29</v>
      </c>
      <c r="F34" s="15" t="str">
        <f>IF(Tabla15[[#This Row],[Columna1]]="","actividad","subactividad")</f>
        <v>subactividad</v>
      </c>
      <c r="G34" s="12"/>
      <c r="H34" s="23">
        <v>45945</v>
      </c>
      <c r="I34" s="19">
        <f>IF(Tabla15[[#This Row],[Duracion ideal (dia)]]="",I33,Tabla15[[#This Row],[Inicio ideal]]+Tabla15[[#This Row],[Duracion ideal (dia)]])</f>
        <v>45946</v>
      </c>
      <c r="J34" s="12"/>
      <c r="K34" s="19">
        <f>IF(Tabla15[[#This Row],[Duracion Real (dia)]]="",K33,L33)</f>
        <v>45947</v>
      </c>
      <c r="L34" s="19">
        <f>IF(Tabla15[[#This Row],[Duracion Real (dia)]]="",L33,Tabla15[[#This Row],[Inicio Real]]+Tabla15[[#This Row],[Duracion Real (dia)]])</f>
        <v>45949</v>
      </c>
      <c r="M34" s="12"/>
      <c r="N34" s="19" t="s">
        <v>35</v>
      </c>
      <c r="O34" s="13" t="s">
        <v>35</v>
      </c>
      <c r="P34" s="13" t="s">
        <v>35</v>
      </c>
      <c r="Q34" s="13" t="s">
        <v>35</v>
      </c>
      <c r="R34" s="13" t="s">
        <v>35</v>
      </c>
      <c r="S34" s="13" t="s">
        <v>35</v>
      </c>
      <c r="T34" s="13" t="s">
        <v>35</v>
      </c>
    </row>
    <row r="35" spans="1:20">
      <c r="A35" s="9" t="s">
        <v>67</v>
      </c>
      <c r="B35" s="9"/>
      <c r="C35" s="21" t="s">
        <v>68</v>
      </c>
      <c r="D35" s="15" t="s">
        <v>24</v>
      </c>
      <c r="E35" s="15" t="s">
        <v>29</v>
      </c>
      <c r="F35" s="15" t="str">
        <f>IF(Tabla15[[#This Row],[Columna1]]="","actividad","subactividad")</f>
        <v>actividad</v>
      </c>
      <c r="G35" s="16" t="s">
        <v>32</v>
      </c>
      <c r="H35" s="19">
        <f>I34</f>
        <v>45946</v>
      </c>
      <c r="I35" s="19">
        <f>IF(Tabla15[[#This Row],[Duracion ideal (dia)]]="",I34,Tabla15[[#This Row],[Inicio ideal]]+Tabla15[[#This Row],[Duracion ideal (dia)]])</f>
        <v>45947</v>
      </c>
      <c r="J35" s="16">
        <v>1</v>
      </c>
      <c r="K35" s="19">
        <f>IF(Tabla15[[#This Row],[Duracion Real (dia)]]="",K34,L34)</f>
        <v>45949</v>
      </c>
      <c r="L35" s="19">
        <f>IF(Tabla15[[#This Row],[Duracion Real (dia)]]="",L34,Tabla15[[#This Row],[Inicio Real]]+Tabla15[[#This Row],[Duracion Real (dia)]])</f>
        <v>45951</v>
      </c>
      <c r="M35" s="16">
        <v>2</v>
      </c>
      <c r="N35" s="19" t="s">
        <v>69</v>
      </c>
      <c r="O35" s="13">
        <v>60795.49</v>
      </c>
      <c r="P35" s="13">
        <v>1246.1500000000001</v>
      </c>
      <c r="Q35" s="13">
        <v>62041.64</v>
      </c>
      <c r="R35" s="13">
        <v>62410.869999999995</v>
      </c>
      <c r="S35" s="13">
        <v>79034.137000000002</v>
      </c>
      <c r="T35" s="13">
        <v>79034.137000000002</v>
      </c>
    </row>
    <row r="36" spans="1:20" hidden="1">
      <c r="A36" s="9" t="str">
        <f t="shared" ref="A36:A41" si="3">CONCATENATE($A$35,".",B36)</f>
        <v>1.1.4.1</v>
      </c>
      <c r="B36" s="9">
        <v>1</v>
      </c>
      <c r="C36" s="10" t="s">
        <v>70</v>
      </c>
      <c r="D36" s="11" t="s">
        <v>24</v>
      </c>
      <c r="E36" s="11" t="s">
        <v>29</v>
      </c>
      <c r="F36" s="15" t="str">
        <f>IF(Tabla15[[#This Row],[Columna1]]="","actividad","subactividad")</f>
        <v>subactividad</v>
      </c>
      <c r="G36" s="12"/>
      <c r="H36" s="23">
        <v>45946</v>
      </c>
      <c r="I36" s="19">
        <f>IF(Tabla15[[#This Row],[Duracion ideal (dia)]]="",I35,Tabla15[[#This Row],[Inicio ideal]]+Tabla15[[#This Row],[Duracion ideal (dia)]])</f>
        <v>45947</v>
      </c>
      <c r="J36" s="12"/>
      <c r="K36" s="19">
        <f>IF(Tabla15[[#This Row],[Duracion Real (dia)]]="",K35,L35)</f>
        <v>45949</v>
      </c>
      <c r="L36" s="19">
        <f>IF(Tabla15[[#This Row],[Duracion Real (dia)]]="",L35,Tabla15[[#This Row],[Inicio Real]]+Tabla15[[#This Row],[Duracion Real (dia)]])</f>
        <v>45951</v>
      </c>
      <c r="M36" s="12"/>
      <c r="N36" s="19" t="s">
        <v>35</v>
      </c>
      <c r="O36" s="13" t="s">
        <v>35</v>
      </c>
      <c r="P36" s="13" t="s">
        <v>35</v>
      </c>
      <c r="Q36" s="13" t="s">
        <v>35</v>
      </c>
      <c r="R36" s="13" t="s">
        <v>35</v>
      </c>
      <c r="S36" s="13" t="s">
        <v>35</v>
      </c>
      <c r="T36" s="13" t="s">
        <v>35</v>
      </c>
    </row>
    <row r="37" spans="1:20" hidden="1">
      <c r="A37" s="9" t="str">
        <f t="shared" si="3"/>
        <v>1.1.4.2</v>
      </c>
      <c r="B37" s="9">
        <v>2</v>
      </c>
      <c r="C37" s="20" t="s">
        <v>71</v>
      </c>
      <c r="D37" s="15" t="s">
        <v>24</v>
      </c>
      <c r="E37" s="15" t="s">
        <v>29</v>
      </c>
      <c r="F37" s="15" t="str">
        <f>IF(Tabla15[[#This Row],[Columna1]]="","actividad","subactividad")</f>
        <v>subactividad</v>
      </c>
      <c r="G37" s="16"/>
      <c r="H37" s="19">
        <v>45946</v>
      </c>
      <c r="I37" s="19">
        <f>IF(Tabla15[[#This Row],[Duracion ideal (dia)]]="",I36,Tabla15[[#This Row],[Inicio ideal]]+Tabla15[[#This Row],[Duracion ideal (dia)]])</f>
        <v>45947</v>
      </c>
      <c r="J37" s="16"/>
      <c r="K37" s="19">
        <f>IF(Tabla15[[#This Row],[Duracion Real (dia)]]="",K36,L36)</f>
        <v>45949</v>
      </c>
      <c r="L37" s="19">
        <f>IF(Tabla15[[#This Row],[Duracion Real (dia)]]="",L36,Tabla15[[#This Row],[Inicio Real]]+Tabla15[[#This Row],[Duracion Real (dia)]])</f>
        <v>45951</v>
      </c>
      <c r="M37" s="16"/>
      <c r="N37" s="19" t="s">
        <v>35</v>
      </c>
      <c r="O37" s="13" t="s">
        <v>35</v>
      </c>
      <c r="P37" s="13" t="s">
        <v>35</v>
      </c>
      <c r="Q37" s="13" t="s">
        <v>35</v>
      </c>
      <c r="R37" s="13" t="s">
        <v>35</v>
      </c>
      <c r="S37" s="13" t="s">
        <v>35</v>
      </c>
      <c r="T37" s="13" t="s">
        <v>35</v>
      </c>
    </row>
    <row r="38" spans="1:20" hidden="1">
      <c r="A38" s="9" t="str">
        <f t="shared" si="3"/>
        <v>1.1.4.3</v>
      </c>
      <c r="B38" s="9">
        <v>3</v>
      </c>
      <c r="C38" s="10" t="s">
        <v>72</v>
      </c>
      <c r="D38" s="11" t="s">
        <v>24</v>
      </c>
      <c r="E38" s="11" t="s">
        <v>29</v>
      </c>
      <c r="F38" s="15" t="str">
        <f>IF(Tabla15[[#This Row],[Columna1]]="","actividad","subactividad")</f>
        <v>subactividad</v>
      </c>
      <c r="G38" s="12"/>
      <c r="H38" s="23">
        <v>45946</v>
      </c>
      <c r="I38" s="19">
        <f>IF(Tabla15[[#This Row],[Duracion ideal (dia)]]="",I37,Tabla15[[#This Row],[Inicio ideal]]+Tabla15[[#This Row],[Duracion ideal (dia)]])</f>
        <v>45947</v>
      </c>
      <c r="J38" s="12"/>
      <c r="K38" s="19">
        <f>IF(Tabla15[[#This Row],[Duracion Real (dia)]]="",K37,L37)</f>
        <v>45949</v>
      </c>
      <c r="L38" s="19">
        <f>IF(Tabla15[[#This Row],[Duracion Real (dia)]]="",L37,Tabla15[[#This Row],[Inicio Real]]+Tabla15[[#This Row],[Duracion Real (dia)]])</f>
        <v>45951</v>
      </c>
      <c r="M38" s="12"/>
      <c r="N38" s="19" t="s">
        <v>35</v>
      </c>
      <c r="O38" s="13" t="s">
        <v>35</v>
      </c>
      <c r="P38" s="13" t="s">
        <v>35</v>
      </c>
      <c r="Q38" s="13" t="s">
        <v>35</v>
      </c>
      <c r="R38" s="13" t="s">
        <v>35</v>
      </c>
      <c r="S38" s="13" t="s">
        <v>35</v>
      </c>
      <c r="T38" s="13" t="s">
        <v>35</v>
      </c>
    </row>
    <row r="39" spans="1:20" hidden="1">
      <c r="A39" s="9" t="str">
        <f t="shared" si="3"/>
        <v>1.1.4.4</v>
      </c>
      <c r="B39" s="9">
        <v>4</v>
      </c>
      <c r="C39" s="20" t="s">
        <v>73</v>
      </c>
      <c r="D39" s="15" t="s">
        <v>24</v>
      </c>
      <c r="E39" s="15" t="s">
        <v>29</v>
      </c>
      <c r="F39" s="15" t="str">
        <f>IF(Tabla15[[#This Row],[Columna1]]="","actividad","subactividad")</f>
        <v>subactividad</v>
      </c>
      <c r="G39" s="16"/>
      <c r="H39" s="19">
        <v>45946</v>
      </c>
      <c r="I39" s="19">
        <f>IF(Tabla15[[#This Row],[Duracion ideal (dia)]]="",I38,Tabla15[[#This Row],[Inicio ideal]]+Tabla15[[#This Row],[Duracion ideal (dia)]])</f>
        <v>45947</v>
      </c>
      <c r="J39" s="16"/>
      <c r="K39" s="19">
        <f>IF(Tabla15[[#This Row],[Duracion Real (dia)]]="",K38,L38)</f>
        <v>45949</v>
      </c>
      <c r="L39" s="19">
        <f>IF(Tabla15[[#This Row],[Duracion Real (dia)]]="",L38,Tabla15[[#This Row],[Inicio Real]]+Tabla15[[#This Row],[Duracion Real (dia)]])</f>
        <v>45951</v>
      </c>
      <c r="M39" s="16"/>
      <c r="N39" s="19" t="s">
        <v>35</v>
      </c>
      <c r="O39" s="13" t="s">
        <v>35</v>
      </c>
      <c r="P39" s="13" t="s">
        <v>35</v>
      </c>
      <c r="Q39" s="13" t="s">
        <v>35</v>
      </c>
      <c r="R39" s="13" t="s">
        <v>35</v>
      </c>
      <c r="S39" s="13" t="s">
        <v>35</v>
      </c>
      <c r="T39" s="13" t="s">
        <v>35</v>
      </c>
    </row>
    <row r="40" spans="1:20" hidden="1">
      <c r="A40" s="9" t="str">
        <f t="shared" si="3"/>
        <v>1.1.4.5</v>
      </c>
      <c r="B40" s="9">
        <v>5</v>
      </c>
      <c r="C40" s="10" t="s">
        <v>74</v>
      </c>
      <c r="D40" s="11" t="s">
        <v>24</v>
      </c>
      <c r="E40" s="11" t="s">
        <v>29</v>
      </c>
      <c r="F40" s="15" t="str">
        <f>IF(Tabla15[[#This Row],[Columna1]]="","actividad","subactividad")</f>
        <v>subactividad</v>
      </c>
      <c r="G40" s="12"/>
      <c r="H40" s="23">
        <v>45946</v>
      </c>
      <c r="I40" s="19">
        <f>IF(Tabla15[[#This Row],[Duracion ideal (dia)]]="",I39,Tabla15[[#This Row],[Inicio ideal]]+Tabla15[[#This Row],[Duracion ideal (dia)]])</f>
        <v>45947</v>
      </c>
      <c r="J40" s="12"/>
      <c r="K40" s="19">
        <f>IF(Tabla15[[#This Row],[Duracion Real (dia)]]="",K39,L39)</f>
        <v>45949</v>
      </c>
      <c r="L40" s="19">
        <f>IF(Tabla15[[#This Row],[Duracion Real (dia)]]="",L39,Tabla15[[#This Row],[Inicio Real]]+Tabla15[[#This Row],[Duracion Real (dia)]])</f>
        <v>45951</v>
      </c>
      <c r="M40" s="12"/>
      <c r="N40" s="19" t="s">
        <v>35</v>
      </c>
      <c r="O40" s="13" t="s">
        <v>35</v>
      </c>
      <c r="P40" s="13" t="s">
        <v>35</v>
      </c>
      <c r="Q40" s="13" t="s">
        <v>35</v>
      </c>
      <c r="R40" s="13" t="s">
        <v>35</v>
      </c>
      <c r="S40" s="13" t="s">
        <v>35</v>
      </c>
      <c r="T40" s="13" t="s">
        <v>35</v>
      </c>
    </row>
    <row r="41" spans="1:20" hidden="1">
      <c r="A41" s="9" t="str">
        <f t="shared" si="3"/>
        <v>1.1.4.6</v>
      </c>
      <c r="B41" s="9">
        <v>6</v>
      </c>
      <c r="C41" s="20" t="s">
        <v>75</v>
      </c>
      <c r="D41" s="15" t="s">
        <v>24</v>
      </c>
      <c r="E41" s="15" t="s">
        <v>29</v>
      </c>
      <c r="F41" s="15" t="str">
        <f>IF(Tabla15[[#This Row],[Columna1]]="","actividad","subactividad")</f>
        <v>subactividad</v>
      </c>
      <c r="G41" s="16"/>
      <c r="H41" s="19">
        <v>45946</v>
      </c>
      <c r="I41" s="19">
        <f>IF(Tabla15[[#This Row],[Duracion ideal (dia)]]="",I40,Tabla15[[#This Row],[Inicio ideal]]+Tabla15[[#This Row],[Duracion ideal (dia)]])</f>
        <v>45947</v>
      </c>
      <c r="J41" s="16"/>
      <c r="K41" s="19">
        <f>IF(Tabla15[[#This Row],[Duracion Real (dia)]]="",K40,L40)</f>
        <v>45949</v>
      </c>
      <c r="L41" s="19">
        <f>IF(Tabla15[[#This Row],[Duracion Real (dia)]]="",L40,Tabla15[[#This Row],[Inicio Real]]+Tabla15[[#This Row],[Duracion Real (dia)]])</f>
        <v>45951</v>
      </c>
      <c r="M41" s="16"/>
      <c r="N41" s="19" t="s">
        <v>35</v>
      </c>
      <c r="O41" s="13" t="s">
        <v>35</v>
      </c>
      <c r="P41" s="13" t="s">
        <v>35</v>
      </c>
      <c r="Q41" s="13" t="s">
        <v>35</v>
      </c>
      <c r="R41" s="13" t="s">
        <v>35</v>
      </c>
      <c r="S41" s="13" t="s">
        <v>35</v>
      </c>
      <c r="T41" s="13" t="s">
        <v>35</v>
      </c>
    </row>
    <row r="42" spans="1:20">
      <c r="A42" s="9" t="s">
        <v>76</v>
      </c>
      <c r="B42" s="9"/>
      <c r="C42" s="22" t="s">
        <v>77</v>
      </c>
      <c r="D42" s="11" t="s">
        <v>24</v>
      </c>
      <c r="E42" s="11" t="s">
        <v>29</v>
      </c>
      <c r="F42" s="15" t="str">
        <f>IF(Tabla15[[#This Row],[Columna1]]="","actividad","subactividad")</f>
        <v>actividad</v>
      </c>
      <c r="G42" s="12" t="s">
        <v>32</v>
      </c>
      <c r="H42" s="19">
        <f t="shared" ref="H42:H105" si="4">I41</f>
        <v>45947</v>
      </c>
      <c r="I42" s="19">
        <f>IF(Tabla15[[#This Row],[Duracion ideal (dia)]]="",I41,Tabla15[[#This Row],[Inicio ideal]]+Tabla15[[#This Row],[Duracion ideal (dia)]])</f>
        <v>45948</v>
      </c>
      <c r="J42" s="12">
        <v>1</v>
      </c>
      <c r="K42" s="19">
        <f>IF(Tabla15[[#This Row],[Duracion Real (dia)]]="",K41,L41)</f>
        <v>45951</v>
      </c>
      <c r="L42" s="19">
        <f>IF(Tabla15[[#This Row],[Duracion Real (dia)]]="",L41,Tabla15[[#This Row],[Inicio Real]]+Tabla15[[#This Row],[Duracion Real (dia)]])</f>
        <v>45953</v>
      </c>
      <c r="M42" s="12">
        <v>2</v>
      </c>
      <c r="N42" s="19" t="s">
        <v>69</v>
      </c>
      <c r="O42" s="13">
        <v>60795.49</v>
      </c>
      <c r="P42" s="13">
        <v>1615.38</v>
      </c>
      <c r="Q42" s="13">
        <v>62410.869999999995</v>
      </c>
      <c r="R42" s="13">
        <v>62410.869999999995</v>
      </c>
      <c r="S42" s="13">
        <v>79034.137000000002</v>
      </c>
      <c r="T42" s="13">
        <v>79034.137000000002</v>
      </c>
    </row>
    <row r="43" spans="1:20" hidden="1">
      <c r="A43" s="9" t="str">
        <f>CONCATENATE($A$42,".",B43)</f>
        <v>1.1.5.1</v>
      </c>
      <c r="B43" s="9">
        <v>1</v>
      </c>
      <c r="C43" s="20" t="s">
        <v>78</v>
      </c>
      <c r="D43" s="15" t="s">
        <v>24</v>
      </c>
      <c r="E43" s="15" t="s">
        <v>29</v>
      </c>
      <c r="F43" s="15" t="str">
        <f>IF(Tabla15[[#This Row],[Columna1]]="","actividad","subactividad")</f>
        <v>subactividad</v>
      </c>
      <c r="G43" s="16"/>
      <c r="H43" s="19">
        <f t="shared" si="4"/>
        <v>45948</v>
      </c>
      <c r="I43" s="19">
        <f>IF(Tabla15[[#This Row],[Duracion ideal (dia)]]="",I42,Tabla15[[#This Row],[Inicio ideal]]+Tabla15[[#This Row],[Duracion ideal (dia)]])</f>
        <v>45948</v>
      </c>
      <c r="J43" s="16"/>
      <c r="K43" s="19">
        <f>IF(Tabla15[[#This Row],[Duracion Real (dia)]]="",K42,L42)</f>
        <v>45951</v>
      </c>
      <c r="L43" s="19">
        <f>IF(Tabla15[[#This Row],[Duracion Real (dia)]]="",L42,Tabla15[[#This Row],[Inicio Real]]+Tabla15[[#This Row],[Duracion Real (dia)]])</f>
        <v>45953</v>
      </c>
      <c r="M43" s="16"/>
      <c r="N43" s="19" t="s">
        <v>35</v>
      </c>
      <c r="O43" s="13" t="s">
        <v>35</v>
      </c>
      <c r="P43" s="13" t="s">
        <v>35</v>
      </c>
      <c r="Q43" s="13" t="s">
        <v>35</v>
      </c>
      <c r="R43" s="13" t="s">
        <v>35</v>
      </c>
      <c r="S43" s="13" t="s">
        <v>35</v>
      </c>
      <c r="T43" s="13" t="s">
        <v>35</v>
      </c>
    </row>
    <row r="44" spans="1:20" hidden="1">
      <c r="A44" s="9" t="str">
        <f>CONCATENATE($A$42,".",B44)</f>
        <v>1.1.5.2</v>
      </c>
      <c r="B44" s="9">
        <v>2</v>
      </c>
      <c r="C44" s="10" t="s">
        <v>79</v>
      </c>
      <c r="D44" s="11" t="s">
        <v>24</v>
      </c>
      <c r="E44" s="11" t="s">
        <v>29</v>
      </c>
      <c r="F44" s="15" t="str">
        <f>IF(Tabla15[[#This Row],[Columna1]]="","actividad","subactividad")</f>
        <v>subactividad</v>
      </c>
      <c r="G44" s="12"/>
      <c r="H44" s="19">
        <f t="shared" si="4"/>
        <v>45948</v>
      </c>
      <c r="I44" s="19">
        <f>IF(Tabla15[[#This Row],[Duracion ideal (dia)]]="",I43,Tabla15[[#This Row],[Inicio ideal]]+Tabla15[[#This Row],[Duracion ideal (dia)]])</f>
        <v>45948</v>
      </c>
      <c r="J44" s="12"/>
      <c r="K44" s="19">
        <f>IF(Tabla15[[#This Row],[Duracion Real (dia)]]="",K43,L43)</f>
        <v>45951</v>
      </c>
      <c r="L44" s="19">
        <f>IF(Tabla15[[#This Row],[Duracion Real (dia)]]="",L43,Tabla15[[#This Row],[Inicio Real]]+Tabla15[[#This Row],[Duracion Real (dia)]])</f>
        <v>45953</v>
      </c>
      <c r="M44" s="12"/>
      <c r="N44" s="19" t="s">
        <v>35</v>
      </c>
      <c r="O44" s="13" t="s">
        <v>35</v>
      </c>
      <c r="P44" s="13" t="s">
        <v>35</v>
      </c>
      <c r="Q44" s="13" t="s">
        <v>35</v>
      </c>
      <c r="R44" s="13" t="s">
        <v>35</v>
      </c>
      <c r="S44" s="13" t="s">
        <v>35</v>
      </c>
      <c r="T44" s="13" t="s">
        <v>35</v>
      </c>
    </row>
    <row r="45" spans="1:20" hidden="1">
      <c r="A45" s="9" t="str">
        <f>CONCATENATE($A$42,".",B45)</f>
        <v>1.1.5.3</v>
      </c>
      <c r="B45" s="9">
        <v>3</v>
      </c>
      <c r="C45" s="20" t="s">
        <v>80</v>
      </c>
      <c r="D45" s="15" t="s">
        <v>24</v>
      </c>
      <c r="E45" s="15" t="s">
        <v>29</v>
      </c>
      <c r="F45" s="15" t="str">
        <f>IF(Tabla15[[#This Row],[Columna1]]="","actividad","subactividad")</f>
        <v>subactividad</v>
      </c>
      <c r="G45" s="16"/>
      <c r="H45" s="19">
        <f t="shared" si="4"/>
        <v>45948</v>
      </c>
      <c r="I45" s="19">
        <f>IF(Tabla15[[#This Row],[Duracion ideal (dia)]]="",I44,Tabla15[[#This Row],[Inicio ideal]]+Tabla15[[#This Row],[Duracion ideal (dia)]])</f>
        <v>45948</v>
      </c>
      <c r="J45" s="16"/>
      <c r="K45" s="19">
        <f>IF(Tabla15[[#This Row],[Duracion Real (dia)]]="",K44,L44)</f>
        <v>45951</v>
      </c>
      <c r="L45" s="19">
        <f>IF(Tabla15[[#This Row],[Duracion Real (dia)]]="",L44,Tabla15[[#This Row],[Inicio Real]]+Tabla15[[#This Row],[Duracion Real (dia)]])</f>
        <v>45953</v>
      </c>
      <c r="M45" s="16"/>
      <c r="N45" s="19" t="s">
        <v>35</v>
      </c>
      <c r="O45" s="13" t="s">
        <v>35</v>
      </c>
      <c r="P45" s="13" t="s">
        <v>35</v>
      </c>
      <c r="Q45" s="13" t="s">
        <v>35</v>
      </c>
      <c r="R45" s="13" t="s">
        <v>35</v>
      </c>
      <c r="S45" s="13" t="s">
        <v>35</v>
      </c>
      <c r="T45" s="13" t="s">
        <v>35</v>
      </c>
    </row>
    <row r="46" spans="1:20" hidden="1">
      <c r="A46" s="9" t="str">
        <f>CONCATENATE($A$42,".",B46)</f>
        <v>1.1.5.4</v>
      </c>
      <c r="B46" s="9">
        <v>4</v>
      </c>
      <c r="C46" s="10" t="s">
        <v>81</v>
      </c>
      <c r="D46" s="11" t="s">
        <v>24</v>
      </c>
      <c r="E46" s="11" t="s">
        <v>29</v>
      </c>
      <c r="F46" s="15" t="str">
        <f>IF(Tabla15[[#This Row],[Columna1]]="","actividad","subactividad")</f>
        <v>subactividad</v>
      </c>
      <c r="G46" s="12"/>
      <c r="H46" s="19">
        <f t="shared" si="4"/>
        <v>45948</v>
      </c>
      <c r="I46" s="19">
        <f>IF(Tabla15[[#This Row],[Duracion ideal (dia)]]="",I45,Tabla15[[#This Row],[Inicio ideal]]+Tabla15[[#This Row],[Duracion ideal (dia)]])</f>
        <v>45948</v>
      </c>
      <c r="J46" s="12"/>
      <c r="K46" s="19">
        <f>IF(Tabla15[[#This Row],[Duracion Real (dia)]]="",K45,L45)</f>
        <v>45951</v>
      </c>
      <c r="L46" s="19">
        <f>IF(Tabla15[[#This Row],[Duracion Real (dia)]]="",L45,Tabla15[[#This Row],[Inicio Real]]+Tabla15[[#This Row],[Duracion Real (dia)]])</f>
        <v>45953</v>
      </c>
      <c r="M46" s="12"/>
      <c r="N46" s="19" t="s">
        <v>35</v>
      </c>
      <c r="O46" s="13" t="s">
        <v>35</v>
      </c>
      <c r="P46" s="13" t="s">
        <v>35</v>
      </c>
      <c r="Q46" s="13" t="s">
        <v>35</v>
      </c>
      <c r="R46" s="13" t="s">
        <v>35</v>
      </c>
      <c r="S46" s="13" t="s">
        <v>35</v>
      </c>
      <c r="T46" s="13" t="s">
        <v>35</v>
      </c>
    </row>
    <row r="47" spans="1:20" hidden="1">
      <c r="A47" s="9" t="str">
        <f>CONCATENATE($A$42,".",B47)</f>
        <v>1.1.5.5</v>
      </c>
      <c r="B47" s="9">
        <v>5</v>
      </c>
      <c r="C47" s="20" t="s">
        <v>82</v>
      </c>
      <c r="D47" s="15" t="s">
        <v>24</v>
      </c>
      <c r="E47" s="15" t="s">
        <v>29</v>
      </c>
      <c r="F47" s="15" t="str">
        <f>IF(Tabla15[[#This Row],[Columna1]]="","actividad","subactividad")</f>
        <v>subactividad</v>
      </c>
      <c r="G47" s="16"/>
      <c r="H47" s="19">
        <f t="shared" si="4"/>
        <v>45948</v>
      </c>
      <c r="I47" s="19">
        <f>IF(Tabla15[[#This Row],[Duracion ideal (dia)]]="",I46,Tabla15[[#This Row],[Inicio ideal]]+Tabla15[[#This Row],[Duracion ideal (dia)]])</f>
        <v>45948</v>
      </c>
      <c r="J47" s="16"/>
      <c r="K47" s="19">
        <f>IF(Tabla15[[#This Row],[Duracion Real (dia)]]="",K46,L46)</f>
        <v>45951</v>
      </c>
      <c r="L47" s="19">
        <f>IF(Tabla15[[#This Row],[Duracion Real (dia)]]="",L46,Tabla15[[#This Row],[Inicio Real]]+Tabla15[[#This Row],[Duracion Real (dia)]])</f>
        <v>45953</v>
      </c>
      <c r="M47" s="16"/>
      <c r="N47" s="19" t="s">
        <v>35</v>
      </c>
      <c r="O47" s="13" t="s">
        <v>35</v>
      </c>
      <c r="P47" s="13" t="s">
        <v>35</v>
      </c>
      <c r="Q47" s="13" t="s">
        <v>35</v>
      </c>
      <c r="R47" s="13" t="s">
        <v>35</v>
      </c>
      <c r="S47" s="13" t="s">
        <v>35</v>
      </c>
      <c r="T47" s="13" t="s">
        <v>35</v>
      </c>
    </row>
    <row r="48" spans="1:20">
      <c r="A48" s="9" t="s">
        <v>83</v>
      </c>
      <c r="B48" s="9"/>
      <c r="C48" s="17" t="s">
        <v>84</v>
      </c>
      <c r="D48" s="11" t="s">
        <v>24</v>
      </c>
      <c r="E48" s="11" t="s">
        <v>85</v>
      </c>
      <c r="F48" s="15" t="str">
        <f>IF(Tabla15[[#This Row],[Columna1]]="","actividad","subactividad")</f>
        <v>actividad</v>
      </c>
      <c r="G48" s="12" t="s">
        <v>22</v>
      </c>
      <c r="H48" s="19">
        <f t="shared" si="4"/>
        <v>45948</v>
      </c>
      <c r="I48" s="19">
        <f>IF(Tabla15[[#This Row],[Duracion ideal (dia)]]="",I47,Tabla15[[#This Row],[Inicio ideal]]+Tabla15[[#This Row],[Duracion ideal (dia)]])</f>
        <v>45948</v>
      </c>
      <c r="J48" s="12"/>
      <c r="K48" s="19">
        <f>IF(Tabla15[[#This Row],[Duracion Real (dia)]]="",K47,L47)</f>
        <v>45951</v>
      </c>
      <c r="L48" s="19">
        <f>IF(Tabla15[[#This Row],[Duracion Real (dia)]]="",L47,Tabla15[[#This Row],[Inicio Real]]+Tabla15[[#This Row],[Duracion Real (dia)]])</f>
        <v>45953</v>
      </c>
      <c r="M48" s="12"/>
      <c r="N48" s="19" t="s">
        <v>35</v>
      </c>
      <c r="O48" s="13" t="s">
        <v>35</v>
      </c>
      <c r="P48" s="13" t="s">
        <v>35</v>
      </c>
      <c r="Q48" s="13" t="s">
        <v>35</v>
      </c>
      <c r="R48" s="13" t="s">
        <v>35</v>
      </c>
      <c r="S48" s="13" t="s">
        <v>35</v>
      </c>
      <c r="T48" s="13" t="s">
        <v>35</v>
      </c>
    </row>
    <row r="49" spans="1:20">
      <c r="A49" s="9" t="s">
        <v>86</v>
      </c>
      <c r="B49" s="9"/>
      <c r="C49" s="21" t="s">
        <v>87</v>
      </c>
      <c r="D49" s="15" t="s">
        <v>24</v>
      </c>
      <c r="E49" s="15" t="s">
        <v>85</v>
      </c>
      <c r="F49" s="15" t="str">
        <f>IF(Tabla15[[#This Row],[Columna1]]="","actividad","subactividad")</f>
        <v>actividad</v>
      </c>
      <c r="G49" s="16" t="s">
        <v>32</v>
      </c>
      <c r="H49" s="19">
        <f t="shared" si="4"/>
        <v>45948</v>
      </c>
      <c r="I49" s="19">
        <f>IF(Tabla15[[#This Row],[Duracion ideal (dia)]]="",I48,Tabla15[[#This Row],[Inicio ideal]]+Tabla15[[#This Row],[Duracion ideal (dia)]])</f>
        <v>45949</v>
      </c>
      <c r="J49" s="16">
        <v>1</v>
      </c>
      <c r="K49" s="19">
        <f>IF(Tabla15[[#This Row],[Duracion Real (dia)]]="",K48,L48)</f>
        <v>45953</v>
      </c>
      <c r="L49" s="19">
        <f>IF(Tabla15[[#This Row],[Duracion Real (dia)]]="",L48,Tabla15[[#This Row],[Inicio Real]]+Tabla15[[#This Row],[Duracion Real (dia)]])</f>
        <v>45955</v>
      </c>
      <c r="M49" s="16">
        <v>2</v>
      </c>
      <c r="N49" s="19" t="s">
        <v>88</v>
      </c>
      <c r="O49" s="13">
        <v>60795.49</v>
      </c>
      <c r="P49" s="13">
        <v>1384.62</v>
      </c>
      <c r="Q49" s="13">
        <v>62180.11</v>
      </c>
      <c r="R49" s="13">
        <v>61949.34</v>
      </c>
      <c r="S49" s="13">
        <v>79034.137000000002</v>
      </c>
      <c r="T49" s="13">
        <v>79034.137000000002</v>
      </c>
    </row>
    <row r="50" spans="1:20" hidden="1">
      <c r="A50" s="9" t="str">
        <f t="shared" ref="A50:A55" si="5">CONCATENATE($A$49,".",B50)</f>
        <v>1.2.1.1</v>
      </c>
      <c r="B50" s="9">
        <v>1</v>
      </c>
      <c r="C50" s="10" t="s">
        <v>89</v>
      </c>
      <c r="D50" s="11" t="s">
        <v>24</v>
      </c>
      <c r="E50" s="11" t="s">
        <v>85</v>
      </c>
      <c r="F50" s="15" t="str">
        <f>IF(Tabla15[[#This Row],[Columna1]]="","actividad","subactividad")</f>
        <v>subactividad</v>
      </c>
      <c r="G50" s="12"/>
      <c r="H50" s="19">
        <f t="shared" si="4"/>
        <v>45949</v>
      </c>
      <c r="I50" s="19">
        <f>IF(Tabla15[[#This Row],[Duracion ideal (dia)]]="",I49,Tabla15[[#This Row],[Inicio ideal]]+Tabla15[[#This Row],[Duracion ideal (dia)]])</f>
        <v>45949</v>
      </c>
      <c r="J50" s="12"/>
      <c r="K50" s="19">
        <f>IF(Tabla15[[#This Row],[Duracion Real (dia)]]="",K49,L49)</f>
        <v>45953</v>
      </c>
      <c r="L50" s="19">
        <f>IF(Tabla15[[#This Row],[Duracion Real (dia)]]="",L49,Tabla15[[#This Row],[Inicio Real]]+Tabla15[[#This Row],[Duracion Real (dia)]])</f>
        <v>45955</v>
      </c>
      <c r="M50" s="12"/>
      <c r="N50" s="19" t="s">
        <v>35</v>
      </c>
      <c r="O50" s="13" t="s">
        <v>35</v>
      </c>
      <c r="P50" s="13" t="s">
        <v>35</v>
      </c>
      <c r="Q50" s="13" t="s">
        <v>35</v>
      </c>
      <c r="R50" s="13" t="s">
        <v>35</v>
      </c>
      <c r="S50" s="13" t="s">
        <v>35</v>
      </c>
      <c r="T50" s="13" t="s">
        <v>35</v>
      </c>
    </row>
    <row r="51" spans="1:20" hidden="1">
      <c r="A51" s="9" t="str">
        <f t="shared" si="5"/>
        <v>1.2.1.2</v>
      </c>
      <c r="B51" s="9">
        <v>2</v>
      </c>
      <c r="C51" s="20" t="s">
        <v>90</v>
      </c>
      <c r="D51" s="15" t="s">
        <v>24</v>
      </c>
      <c r="E51" s="15" t="s">
        <v>85</v>
      </c>
      <c r="F51" s="15" t="str">
        <f>IF(Tabla15[[#This Row],[Columna1]]="","actividad","subactividad")</f>
        <v>subactividad</v>
      </c>
      <c r="G51" s="16"/>
      <c r="H51" s="19">
        <f t="shared" si="4"/>
        <v>45949</v>
      </c>
      <c r="I51" s="19">
        <f>IF(Tabla15[[#This Row],[Duracion ideal (dia)]]="",I50,Tabla15[[#This Row],[Inicio ideal]]+Tabla15[[#This Row],[Duracion ideal (dia)]])</f>
        <v>45949</v>
      </c>
      <c r="J51" s="16"/>
      <c r="K51" s="19">
        <f>IF(Tabla15[[#This Row],[Duracion Real (dia)]]="",K50,L50)</f>
        <v>45953</v>
      </c>
      <c r="L51" s="19">
        <f>IF(Tabla15[[#This Row],[Duracion Real (dia)]]="",L50,Tabla15[[#This Row],[Inicio Real]]+Tabla15[[#This Row],[Duracion Real (dia)]])</f>
        <v>45955</v>
      </c>
      <c r="M51" s="16"/>
      <c r="N51" s="19" t="s">
        <v>35</v>
      </c>
      <c r="O51" s="13" t="s">
        <v>35</v>
      </c>
      <c r="P51" s="13" t="s">
        <v>35</v>
      </c>
      <c r="Q51" s="13" t="s">
        <v>35</v>
      </c>
      <c r="R51" s="13" t="s">
        <v>35</v>
      </c>
      <c r="S51" s="13" t="s">
        <v>35</v>
      </c>
      <c r="T51" s="13" t="s">
        <v>35</v>
      </c>
    </row>
    <row r="52" spans="1:20" hidden="1">
      <c r="A52" s="9" t="str">
        <f t="shared" si="5"/>
        <v>1.2.1.3</v>
      </c>
      <c r="B52" s="9">
        <v>3</v>
      </c>
      <c r="C52" s="10" t="s">
        <v>91</v>
      </c>
      <c r="D52" s="11" t="s">
        <v>24</v>
      </c>
      <c r="E52" s="11" t="s">
        <v>85</v>
      </c>
      <c r="F52" s="15" t="str">
        <f>IF(Tabla15[[#This Row],[Columna1]]="","actividad","subactividad")</f>
        <v>subactividad</v>
      </c>
      <c r="G52" s="12"/>
      <c r="H52" s="19">
        <f t="shared" si="4"/>
        <v>45949</v>
      </c>
      <c r="I52" s="19">
        <f>IF(Tabla15[[#This Row],[Duracion ideal (dia)]]="",I51,Tabla15[[#This Row],[Inicio ideal]]+Tabla15[[#This Row],[Duracion ideal (dia)]])</f>
        <v>45949</v>
      </c>
      <c r="J52" s="12"/>
      <c r="K52" s="19">
        <f>IF(Tabla15[[#This Row],[Duracion Real (dia)]]="",K51,L51)</f>
        <v>45953</v>
      </c>
      <c r="L52" s="19">
        <f>IF(Tabla15[[#This Row],[Duracion Real (dia)]]="",L51,Tabla15[[#This Row],[Inicio Real]]+Tabla15[[#This Row],[Duracion Real (dia)]])</f>
        <v>45955</v>
      </c>
      <c r="M52" s="12"/>
      <c r="N52" s="19" t="s">
        <v>35</v>
      </c>
      <c r="O52" s="13" t="s">
        <v>35</v>
      </c>
      <c r="P52" s="13" t="s">
        <v>35</v>
      </c>
      <c r="Q52" s="13" t="s">
        <v>35</v>
      </c>
      <c r="R52" s="13" t="s">
        <v>35</v>
      </c>
      <c r="S52" s="13" t="s">
        <v>35</v>
      </c>
      <c r="T52" s="13" t="s">
        <v>35</v>
      </c>
    </row>
    <row r="53" spans="1:20" hidden="1">
      <c r="A53" s="9" t="str">
        <f t="shared" si="5"/>
        <v>1.2.1.4</v>
      </c>
      <c r="B53" s="9">
        <v>4</v>
      </c>
      <c r="C53" s="20" t="s">
        <v>92</v>
      </c>
      <c r="D53" s="15" t="s">
        <v>24</v>
      </c>
      <c r="E53" s="15" t="s">
        <v>85</v>
      </c>
      <c r="F53" s="15" t="str">
        <f>IF(Tabla15[[#This Row],[Columna1]]="","actividad","subactividad")</f>
        <v>subactividad</v>
      </c>
      <c r="G53" s="16"/>
      <c r="H53" s="19">
        <f t="shared" si="4"/>
        <v>45949</v>
      </c>
      <c r="I53" s="19">
        <f>IF(Tabla15[[#This Row],[Duracion ideal (dia)]]="",I52,Tabla15[[#This Row],[Inicio ideal]]+Tabla15[[#This Row],[Duracion ideal (dia)]])</f>
        <v>45949</v>
      </c>
      <c r="J53" s="16"/>
      <c r="K53" s="19">
        <f>IF(Tabla15[[#This Row],[Duracion Real (dia)]]="",K52,L52)</f>
        <v>45953</v>
      </c>
      <c r="L53" s="19">
        <f>IF(Tabla15[[#This Row],[Duracion Real (dia)]]="",L52,Tabla15[[#This Row],[Inicio Real]]+Tabla15[[#This Row],[Duracion Real (dia)]])</f>
        <v>45955</v>
      </c>
      <c r="M53" s="16"/>
      <c r="N53" s="19" t="s">
        <v>35</v>
      </c>
      <c r="O53" s="13" t="s">
        <v>35</v>
      </c>
      <c r="P53" s="13" t="s">
        <v>35</v>
      </c>
      <c r="Q53" s="13" t="s">
        <v>35</v>
      </c>
      <c r="R53" s="13" t="s">
        <v>35</v>
      </c>
      <c r="S53" s="13" t="s">
        <v>35</v>
      </c>
      <c r="T53" s="13" t="s">
        <v>35</v>
      </c>
    </row>
    <row r="54" spans="1:20" hidden="1">
      <c r="A54" s="9" t="str">
        <f t="shared" si="5"/>
        <v>1.2.1.5</v>
      </c>
      <c r="B54" s="9">
        <v>5</v>
      </c>
      <c r="C54" s="10" t="s">
        <v>93</v>
      </c>
      <c r="D54" s="11" t="s">
        <v>24</v>
      </c>
      <c r="E54" s="11" t="s">
        <v>85</v>
      </c>
      <c r="F54" s="15" t="str">
        <f>IF(Tabla15[[#This Row],[Columna1]]="","actividad","subactividad")</f>
        <v>subactividad</v>
      </c>
      <c r="G54" s="12"/>
      <c r="H54" s="19">
        <f t="shared" si="4"/>
        <v>45949</v>
      </c>
      <c r="I54" s="19">
        <f>IF(Tabla15[[#This Row],[Duracion ideal (dia)]]="",I53,Tabla15[[#This Row],[Inicio ideal]]+Tabla15[[#This Row],[Duracion ideal (dia)]])</f>
        <v>45949</v>
      </c>
      <c r="J54" s="12"/>
      <c r="K54" s="19">
        <f>IF(Tabla15[[#This Row],[Duracion Real (dia)]]="",K53,L53)</f>
        <v>45953</v>
      </c>
      <c r="L54" s="19">
        <f>IF(Tabla15[[#This Row],[Duracion Real (dia)]]="",L53,Tabla15[[#This Row],[Inicio Real]]+Tabla15[[#This Row],[Duracion Real (dia)]])</f>
        <v>45955</v>
      </c>
      <c r="M54" s="12"/>
      <c r="N54" s="19" t="s">
        <v>35</v>
      </c>
      <c r="O54" s="13" t="s">
        <v>35</v>
      </c>
      <c r="P54" s="13" t="s">
        <v>35</v>
      </c>
      <c r="Q54" s="13" t="s">
        <v>35</v>
      </c>
      <c r="R54" s="13" t="s">
        <v>35</v>
      </c>
      <c r="S54" s="13" t="s">
        <v>35</v>
      </c>
      <c r="T54" s="13" t="s">
        <v>35</v>
      </c>
    </row>
    <row r="55" spans="1:20" hidden="1">
      <c r="A55" s="9" t="str">
        <f t="shared" si="5"/>
        <v>1.2.1.6</v>
      </c>
      <c r="B55" s="9">
        <v>6</v>
      </c>
      <c r="C55" s="20" t="s">
        <v>94</v>
      </c>
      <c r="D55" s="15" t="s">
        <v>24</v>
      </c>
      <c r="E55" s="15" t="s">
        <v>85</v>
      </c>
      <c r="F55" s="15" t="str">
        <f>IF(Tabla15[[#This Row],[Columna1]]="","actividad","subactividad")</f>
        <v>subactividad</v>
      </c>
      <c r="G55" s="16"/>
      <c r="H55" s="19">
        <f t="shared" si="4"/>
        <v>45949</v>
      </c>
      <c r="I55" s="19">
        <f>IF(Tabla15[[#This Row],[Duracion ideal (dia)]]="",I54,Tabla15[[#This Row],[Inicio ideal]]+Tabla15[[#This Row],[Duracion ideal (dia)]])</f>
        <v>45949</v>
      </c>
      <c r="J55" s="16"/>
      <c r="K55" s="19">
        <f>IF(Tabla15[[#This Row],[Duracion Real (dia)]]="",K54,L54)</f>
        <v>45953</v>
      </c>
      <c r="L55" s="19">
        <f>IF(Tabla15[[#This Row],[Duracion Real (dia)]]="",L54,Tabla15[[#This Row],[Inicio Real]]+Tabla15[[#This Row],[Duracion Real (dia)]])</f>
        <v>45955</v>
      </c>
      <c r="M55" s="16"/>
      <c r="N55" s="19" t="s">
        <v>35</v>
      </c>
      <c r="O55" s="13" t="s">
        <v>35</v>
      </c>
      <c r="P55" s="13" t="s">
        <v>35</v>
      </c>
      <c r="Q55" s="13" t="s">
        <v>35</v>
      </c>
      <c r="R55" s="13" t="s">
        <v>35</v>
      </c>
      <c r="S55" s="13" t="s">
        <v>35</v>
      </c>
      <c r="T55" s="13" t="s">
        <v>35</v>
      </c>
    </row>
    <row r="56" spans="1:20">
      <c r="A56" s="9" t="s">
        <v>95</v>
      </c>
      <c r="B56" s="9"/>
      <c r="C56" s="22" t="s">
        <v>96</v>
      </c>
      <c r="D56" s="11" t="s">
        <v>24</v>
      </c>
      <c r="E56" s="11" t="s">
        <v>85</v>
      </c>
      <c r="F56" s="15" t="str">
        <f>IF(Tabla15[[#This Row],[Columna1]]="","actividad","subactividad")</f>
        <v>actividad</v>
      </c>
      <c r="G56" s="12" t="s">
        <v>32</v>
      </c>
      <c r="H56" s="19">
        <f t="shared" si="4"/>
        <v>45949</v>
      </c>
      <c r="I56" s="19">
        <f>IF(Tabla15[[#This Row],[Duracion ideal (dia)]]="",I55,Tabla15[[#This Row],[Inicio ideal]]+Tabla15[[#This Row],[Duracion ideal (dia)]])</f>
        <v>45950</v>
      </c>
      <c r="J56" s="12">
        <v>1</v>
      </c>
      <c r="K56" s="19">
        <f>IF(Tabla15[[#This Row],[Duracion Real (dia)]]="",K55,L55)</f>
        <v>45955</v>
      </c>
      <c r="L56" s="19">
        <f>IF(Tabla15[[#This Row],[Duracion Real (dia)]]="",L55,Tabla15[[#This Row],[Inicio Real]]+Tabla15[[#This Row],[Duracion Real (dia)]])</f>
        <v>45957</v>
      </c>
      <c r="M56" s="12">
        <v>2</v>
      </c>
      <c r="N56" s="19" t="s">
        <v>88</v>
      </c>
      <c r="O56" s="13">
        <v>60795.49</v>
      </c>
      <c r="P56" s="13">
        <v>1384.62</v>
      </c>
      <c r="Q56" s="13">
        <v>62180.11</v>
      </c>
      <c r="R56" s="13">
        <v>61949.34</v>
      </c>
      <c r="S56" s="13">
        <v>79034.137000000002</v>
      </c>
      <c r="T56" s="13">
        <v>79034.137000000002</v>
      </c>
    </row>
    <row r="57" spans="1:20" hidden="1">
      <c r="A57" s="9" t="str">
        <f>CONCATENATE($A$56,".",B57)</f>
        <v>1.2.2.1</v>
      </c>
      <c r="B57" s="9">
        <f>IF(B56=" ",1,B56+1)</f>
        <v>1</v>
      </c>
      <c r="C57" s="20" t="s">
        <v>97</v>
      </c>
      <c r="D57" s="15" t="s">
        <v>24</v>
      </c>
      <c r="E57" s="15" t="s">
        <v>85</v>
      </c>
      <c r="F57" s="15" t="str">
        <f>IF(Tabla15[[#This Row],[Columna1]]="","actividad","subactividad")</f>
        <v>subactividad</v>
      </c>
      <c r="G57" s="16"/>
      <c r="H57" s="19">
        <f t="shared" si="4"/>
        <v>45950</v>
      </c>
      <c r="I57" s="19">
        <f>IF(Tabla15[[#This Row],[Duracion ideal (dia)]]="",I56,Tabla15[[#This Row],[Inicio ideal]]+Tabla15[[#This Row],[Duracion ideal (dia)]])</f>
        <v>45950</v>
      </c>
      <c r="J57" s="16"/>
      <c r="K57" s="19">
        <f>IF(Tabla15[[#This Row],[Duracion Real (dia)]]="",K56,L56)</f>
        <v>45955</v>
      </c>
      <c r="L57" s="19">
        <f>IF(Tabla15[[#This Row],[Duracion Real (dia)]]="",L56,Tabla15[[#This Row],[Inicio Real]]+Tabla15[[#This Row],[Duracion Real (dia)]])</f>
        <v>45957</v>
      </c>
      <c r="M57" s="16"/>
      <c r="N57" s="19" t="s">
        <v>35</v>
      </c>
      <c r="O57" s="13" t="s">
        <v>35</v>
      </c>
      <c r="P57" s="13" t="s">
        <v>35</v>
      </c>
      <c r="Q57" s="13" t="s">
        <v>35</v>
      </c>
      <c r="R57" s="13" t="s">
        <v>35</v>
      </c>
      <c r="S57" s="13" t="s">
        <v>35</v>
      </c>
      <c r="T57" s="13" t="s">
        <v>35</v>
      </c>
    </row>
    <row r="58" spans="1:20" hidden="1">
      <c r="A58" s="9" t="str">
        <f>CONCATENATE($A$56,".",B58)</f>
        <v>1.2.2.2</v>
      </c>
      <c r="B58" s="9">
        <f>IF(B57=" ",1,B57+1)</f>
        <v>2</v>
      </c>
      <c r="C58" s="10" t="s">
        <v>98</v>
      </c>
      <c r="D58" s="11" t="s">
        <v>24</v>
      </c>
      <c r="E58" s="11" t="s">
        <v>85</v>
      </c>
      <c r="F58" s="15" t="str">
        <f>IF(Tabla15[[#This Row],[Columna1]]="","actividad","subactividad")</f>
        <v>subactividad</v>
      </c>
      <c r="G58" s="12"/>
      <c r="H58" s="19">
        <f t="shared" si="4"/>
        <v>45950</v>
      </c>
      <c r="I58" s="19">
        <f>IF(Tabla15[[#This Row],[Duracion ideal (dia)]]="",I57,Tabla15[[#This Row],[Inicio ideal]]+Tabla15[[#This Row],[Duracion ideal (dia)]])</f>
        <v>45950</v>
      </c>
      <c r="J58" s="12"/>
      <c r="K58" s="19">
        <f>IF(Tabla15[[#This Row],[Duracion Real (dia)]]="",K57,L57)</f>
        <v>45955</v>
      </c>
      <c r="L58" s="19">
        <f>IF(Tabla15[[#This Row],[Duracion Real (dia)]]="",L57,Tabla15[[#This Row],[Inicio Real]]+Tabla15[[#This Row],[Duracion Real (dia)]])</f>
        <v>45957</v>
      </c>
      <c r="M58" s="12"/>
      <c r="N58" s="19" t="s">
        <v>35</v>
      </c>
      <c r="O58" s="13" t="s">
        <v>35</v>
      </c>
      <c r="P58" s="13" t="s">
        <v>35</v>
      </c>
      <c r="Q58" s="13" t="s">
        <v>35</v>
      </c>
      <c r="R58" s="13" t="s">
        <v>35</v>
      </c>
      <c r="S58" s="13" t="s">
        <v>35</v>
      </c>
      <c r="T58" s="13" t="s">
        <v>35</v>
      </c>
    </row>
    <row r="59" spans="1:20" hidden="1">
      <c r="A59" s="9" t="str">
        <f>CONCATENATE($A$56,".",B59)</f>
        <v>1.2.2.3</v>
      </c>
      <c r="B59" s="9">
        <f>IF(B58=" ",1,B58+1)</f>
        <v>3</v>
      </c>
      <c r="C59" s="20" t="s">
        <v>99</v>
      </c>
      <c r="D59" s="15" t="s">
        <v>24</v>
      </c>
      <c r="E59" s="15" t="s">
        <v>85</v>
      </c>
      <c r="F59" s="15" t="str">
        <f>IF(Tabla15[[#This Row],[Columna1]]="","actividad","subactividad")</f>
        <v>subactividad</v>
      </c>
      <c r="G59" s="16"/>
      <c r="H59" s="19">
        <f t="shared" si="4"/>
        <v>45950</v>
      </c>
      <c r="I59" s="19">
        <f>IF(Tabla15[[#This Row],[Duracion ideal (dia)]]="",I58,Tabla15[[#This Row],[Inicio ideal]]+Tabla15[[#This Row],[Duracion ideal (dia)]])</f>
        <v>45950</v>
      </c>
      <c r="J59" s="16"/>
      <c r="K59" s="19">
        <f>IF(Tabla15[[#This Row],[Duracion Real (dia)]]="",K58,L58)</f>
        <v>45955</v>
      </c>
      <c r="L59" s="19">
        <f>IF(Tabla15[[#This Row],[Duracion Real (dia)]]="",L58,Tabla15[[#This Row],[Inicio Real]]+Tabla15[[#This Row],[Duracion Real (dia)]])</f>
        <v>45957</v>
      </c>
      <c r="M59" s="16"/>
      <c r="N59" s="19" t="s">
        <v>35</v>
      </c>
      <c r="O59" s="13" t="s">
        <v>35</v>
      </c>
      <c r="P59" s="13" t="s">
        <v>35</v>
      </c>
      <c r="Q59" s="13" t="s">
        <v>35</v>
      </c>
      <c r="R59" s="13" t="s">
        <v>35</v>
      </c>
      <c r="S59" s="13" t="s">
        <v>35</v>
      </c>
      <c r="T59" s="13" t="s">
        <v>35</v>
      </c>
    </row>
    <row r="60" spans="1:20" hidden="1">
      <c r="A60" s="9" t="str">
        <f>CONCATENATE($A$56,".",B60)</f>
        <v>1.2.2.4</v>
      </c>
      <c r="B60" s="9">
        <f>IF(B59=" ",1,B59+1)</f>
        <v>4</v>
      </c>
      <c r="C60" s="10" t="s">
        <v>100</v>
      </c>
      <c r="D60" s="11" t="s">
        <v>24</v>
      </c>
      <c r="E60" s="11" t="s">
        <v>85</v>
      </c>
      <c r="F60" s="15" t="str">
        <f>IF(Tabla15[[#This Row],[Columna1]]="","actividad","subactividad")</f>
        <v>subactividad</v>
      </c>
      <c r="G60" s="12"/>
      <c r="H60" s="19">
        <f t="shared" si="4"/>
        <v>45950</v>
      </c>
      <c r="I60" s="19">
        <f>IF(Tabla15[[#This Row],[Duracion ideal (dia)]]="",I59,Tabla15[[#This Row],[Inicio ideal]]+Tabla15[[#This Row],[Duracion ideal (dia)]])</f>
        <v>45950</v>
      </c>
      <c r="J60" s="12"/>
      <c r="K60" s="19">
        <f>IF(Tabla15[[#This Row],[Duracion Real (dia)]]="",K59,L59)</f>
        <v>45955</v>
      </c>
      <c r="L60" s="19">
        <f>IF(Tabla15[[#This Row],[Duracion Real (dia)]]="",L59,Tabla15[[#This Row],[Inicio Real]]+Tabla15[[#This Row],[Duracion Real (dia)]])</f>
        <v>45957</v>
      </c>
      <c r="M60" s="12"/>
      <c r="N60" s="19" t="s">
        <v>35</v>
      </c>
      <c r="O60" s="13" t="s">
        <v>35</v>
      </c>
      <c r="P60" s="13" t="s">
        <v>35</v>
      </c>
      <c r="Q60" s="13" t="s">
        <v>35</v>
      </c>
      <c r="R60" s="13" t="s">
        <v>35</v>
      </c>
      <c r="S60" s="13" t="s">
        <v>35</v>
      </c>
      <c r="T60" s="13" t="s">
        <v>35</v>
      </c>
    </row>
    <row r="61" spans="1:20" hidden="1">
      <c r="A61" s="9" t="str">
        <f>CONCATENATE($A$56,".",B61)</f>
        <v>1.2.2.5</v>
      </c>
      <c r="B61" s="9">
        <f>IF(B60=" ",1,B60+1)</f>
        <v>5</v>
      </c>
      <c r="C61" s="20" t="s">
        <v>101</v>
      </c>
      <c r="D61" s="15" t="s">
        <v>24</v>
      </c>
      <c r="E61" s="15" t="s">
        <v>85</v>
      </c>
      <c r="F61" s="15" t="str">
        <f>IF(Tabla15[[#This Row],[Columna1]]="","actividad","subactividad")</f>
        <v>subactividad</v>
      </c>
      <c r="G61" s="16"/>
      <c r="H61" s="19">
        <f t="shared" si="4"/>
        <v>45950</v>
      </c>
      <c r="I61" s="19">
        <f>IF(Tabla15[[#This Row],[Duracion ideal (dia)]]="",I60,Tabla15[[#This Row],[Inicio ideal]]+Tabla15[[#This Row],[Duracion ideal (dia)]])</f>
        <v>45950</v>
      </c>
      <c r="J61" s="16"/>
      <c r="K61" s="19">
        <f>IF(Tabla15[[#This Row],[Duracion Real (dia)]]="",K60,L60)</f>
        <v>45955</v>
      </c>
      <c r="L61" s="19">
        <f>IF(Tabla15[[#This Row],[Duracion Real (dia)]]="",L60,Tabla15[[#This Row],[Inicio Real]]+Tabla15[[#This Row],[Duracion Real (dia)]])</f>
        <v>45957</v>
      </c>
      <c r="M61" s="16"/>
      <c r="N61" s="19" t="s">
        <v>35</v>
      </c>
      <c r="O61" s="13" t="s">
        <v>35</v>
      </c>
      <c r="P61" s="13" t="s">
        <v>35</v>
      </c>
      <c r="Q61" s="13" t="s">
        <v>35</v>
      </c>
      <c r="R61" s="13" t="s">
        <v>35</v>
      </c>
      <c r="S61" s="13" t="s">
        <v>35</v>
      </c>
      <c r="T61" s="13" t="s">
        <v>35</v>
      </c>
    </row>
    <row r="62" spans="1:20">
      <c r="A62" s="9" t="s">
        <v>102</v>
      </c>
      <c r="B62" s="9"/>
      <c r="C62" s="22" t="s">
        <v>103</v>
      </c>
      <c r="D62" s="11" t="s">
        <v>24</v>
      </c>
      <c r="E62" s="11" t="s">
        <v>85</v>
      </c>
      <c r="F62" s="15" t="str">
        <f>IF(Tabla15[[#This Row],[Columna1]]="","actividad","subactividad")</f>
        <v>actividad</v>
      </c>
      <c r="G62" s="12" t="s">
        <v>32</v>
      </c>
      <c r="H62" s="19">
        <f t="shared" si="4"/>
        <v>45950</v>
      </c>
      <c r="I62" s="19">
        <f>IF(Tabla15[[#This Row],[Duracion ideal (dia)]]="",I61,Tabla15[[#This Row],[Inicio ideal]]+Tabla15[[#This Row],[Duracion ideal (dia)]])</f>
        <v>45951</v>
      </c>
      <c r="J62" s="12">
        <v>1</v>
      </c>
      <c r="K62" s="19">
        <f>IF(Tabla15[[#This Row],[Duracion Real (dia)]]="",K61,L61)</f>
        <v>45957</v>
      </c>
      <c r="L62" s="19">
        <f>IF(Tabla15[[#This Row],[Duracion Real (dia)]]="",L61,Tabla15[[#This Row],[Inicio Real]]+Tabla15[[#This Row],[Duracion Real (dia)]])</f>
        <v>45958</v>
      </c>
      <c r="M62" s="12">
        <v>1</v>
      </c>
      <c r="N62" s="19" t="s">
        <v>69</v>
      </c>
      <c r="O62" s="13">
        <v>60795.49</v>
      </c>
      <c r="P62" s="13">
        <v>1845.15</v>
      </c>
      <c r="Q62" s="13">
        <v>62640.639999999999</v>
      </c>
      <c r="R62" s="13">
        <v>62410.869999999995</v>
      </c>
      <c r="S62" s="13">
        <v>79034.137000000002</v>
      </c>
      <c r="T62" s="13">
        <v>79034.137000000002</v>
      </c>
    </row>
    <row r="63" spans="1:20" hidden="1">
      <c r="A63" s="9" t="str">
        <f>CONCATENATE($A$62,".",B63)</f>
        <v>1.2.3.1</v>
      </c>
      <c r="B63" s="9">
        <f>IF(B62=" ",1,B62+1)</f>
        <v>1</v>
      </c>
      <c r="C63" s="20" t="s">
        <v>104</v>
      </c>
      <c r="D63" s="15" t="s">
        <v>24</v>
      </c>
      <c r="E63" s="15" t="s">
        <v>85</v>
      </c>
      <c r="F63" s="15" t="str">
        <f>IF(Tabla15[[#This Row],[Columna1]]="","actividad","subactividad")</f>
        <v>subactividad</v>
      </c>
      <c r="G63" s="16"/>
      <c r="H63" s="19">
        <f t="shared" si="4"/>
        <v>45951</v>
      </c>
      <c r="I63" s="19">
        <f>IF(Tabla15[[#This Row],[Duracion ideal (dia)]]="",I62,Tabla15[[#This Row],[Inicio ideal]]+Tabla15[[#This Row],[Duracion ideal (dia)]])</f>
        <v>45951</v>
      </c>
      <c r="J63" s="16"/>
      <c r="K63" s="19">
        <f>IF(Tabla15[[#This Row],[Duracion Real (dia)]]="",K62,L62)</f>
        <v>45957</v>
      </c>
      <c r="L63" s="19">
        <f>IF(Tabla15[[#This Row],[Duracion Real (dia)]]="",L62,Tabla15[[#This Row],[Inicio Real]]+Tabla15[[#This Row],[Duracion Real (dia)]])</f>
        <v>45958</v>
      </c>
      <c r="M63" s="16"/>
      <c r="N63" s="19" t="s">
        <v>35</v>
      </c>
      <c r="O63" s="13" t="s">
        <v>35</v>
      </c>
      <c r="P63" s="13" t="s">
        <v>35</v>
      </c>
      <c r="Q63" s="13" t="s">
        <v>35</v>
      </c>
      <c r="R63" s="13" t="s">
        <v>35</v>
      </c>
      <c r="S63" s="13" t="s">
        <v>35</v>
      </c>
      <c r="T63" s="13" t="s">
        <v>35</v>
      </c>
    </row>
    <row r="64" spans="1:20" hidden="1">
      <c r="A64" s="9" t="str">
        <f>CONCATENATE($A$62,".",B64)</f>
        <v>1.2.3.2</v>
      </c>
      <c r="B64" s="9">
        <f>IF(B63=" ",1,B63+1)</f>
        <v>2</v>
      </c>
      <c r="C64" s="10" t="s">
        <v>105</v>
      </c>
      <c r="D64" s="11" t="s">
        <v>24</v>
      </c>
      <c r="E64" s="11" t="s">
        <v>85</v>
      </c>
      <c r="F64" s="15" t="str">
        <f>IF(Tabla15[[#This Row],[Columna1]]="","actividad","subactividad")</f>
        <v>subactividad</v>
      </c>
      <c r="G64" s="12"/>
      <c r="H64" s="19">
        <f t="shared" si="4"/>
        <v>45951</v>
      </c>
      <c r="I64" s="19">
        <f>IF(Tabla15[[#This Row],[Duracion ideal (dia)]]="",I63,Tabla15[[#This Row],[Inicio ideal]]+Tabla15[[#This Row],[Duracion ideal (dia)]])</f>
        <v>45951</v>
      </c>
      <c r="J64" s="12"/>
      <c r="K64" s="19">
        <f>IF(Tabla15[[#This Row],[Duracion Real (dia)]]="",K63,L63)</f>
        <v>45957</v>
      </c>
      <c r="L64" s="19">
        <f>IF(Tabla15[[#This Row],[Duracion Real (dia)]]="",L63,Tabla15[[#This Row],[Inicio Real]]+Tabla15[[#This Row],[Duracion Real (dia)]])</f>
        <v>45958</v>
      </c>
      <c r="M64" s="12"/>
      <c r="N64" s="19" t="s">
        <v>35</v>
      </c>
      <c r="O64" s="13" t="s">
        <v>35</v>
      </c>
      <c r="P64" s="13" t="s">
        <v>35</v>
      </c>
      <c r="Q64" s="13" t="s">
        <v>35</v>
      </c>
      <c r="R64" s="13" t="s">
        <v>35</v>
      </c>
      <c r="S64" s="13" t="s">
        <v>35</v>
      </c>
      <c r="T64" s="13" t="s">
        <v>35</v>
      </c>
    </row>
    <row r="65" spans="1:20" hidden="1">
      <c r="A65" s="9" t="str">
        <f>CONCATENATE($A$62,".",B65)</f>
        <v>1.2.3.3</v>
      </c>
      <c r="B65" s="9">
        <f>IF(B64=" ",1,B64+1)</f>
        <v>3</v>
      </c>
      <c r="C65" s="20" t="s">
        <v>106</v>
      </c>
      <c r="D65" s="15" t="s">
        <v>24</v>
      </c>
      <c r="E65" s="15" t="s">
        <v>85</v>
      </c>
      <c r="F65" s="15" t="str">
        <f>IF(Tabla15[[#This Row],[Columna1]]="","actividad","subactividad")</f>
        <v>subactividad</v>
      </c>
      <c r="G65" s="16"/>
      <c r="H65" s="19">
        <f t="shared" si="4"/>
        <v>45951</v>
      </c>
      <c r="I65" s="19">
        <f>IF(Tabla15[[#This Row],[Duracion ideal (dia)]]="",I64,Tabla15[[#This Row],[Inicio ideal]]+Tabla15[[#This Row],[Duracion ideal (dia)]])</f>
        <v>45951</v>
      </c>
      <c r="J65" s="16"/>
      <c r="K65" s="19">
        <f>IF(Tabla15[[#This Row],[Duracion Real (dia)]]="",K64,L64)</f>
        <v>45957</v>
      </c>
      <c r="L65" s="19">
        <f>IF(Tabla15[[#This Row],[Duracion Real (dia)]]="",L64,Tabla15[[#This Row],[Inicio Real]]+Tabla15[[#This Row],[Duracion Real (dia)]])</f>
        <v>45958</v>
      </c>
      <c r="M65" s="16"/>
      <c r="N65" s="19" t="s">
        <v>35</v>
      </c>
      <c r="O65" s="13" t="s">
        <v>35</v>
      </c>
      <c r="P65" s="13" t="s">
        <v>35</v>
      </c>
      <c r="Q65" s="13" t="s">
        <v>35</v>
      </c>
      <c r="R65" s="13" t="s">
        <v>35</v>
      </c>
      <c r="S65" s="13" t="s">
        <v>35</v>
      </c>
      <c r="T65" s="13" t="s">
        <v>35</v>
      </c>
    </row>
    <row r="66" spans="1:20" hidden="1">
      <c r="A66" s="9" t="str">
        <f>CONCATENATE($A$62,".",B66)</f>
        <v>1.2.3.4</v>
      </c>
      <c r="B66" s="9">
        <f>IF(B65=" ",1,B65+1)</f>
        <v>4</v>
      </c>
      <c r="C66" s="10" t="s">
        <v>107</v>
      </c>
      <c r="D66" s="11" t="s">
        <v>24</v>
      </c>
      <c r="E66" s="11" t="s">
        <v>85</v>
      </c>
      <c r="F66" s="15" t="str">
        <f>IF(Tabla15[[#This Row],[Columna1]]="","actividad","subactividad")</f>
        <v>subactividad</v>
      </c>
      <c r="G66" s="12"/>
      <c r="H66" s="19">
        <f t="shared" si="4"/>
        <v>45951</v>
      </c>
      <c r="I66" s="19">
        <f>IF(Tabla15[[#This Row],[Duracion ideal (dia)]]="",I65,Tabla15[[#This Row],[Inicio ideal]]+Tabla15[[#This Row],[Duracion ideal (dia)]])</f>
        <v>45951</v>
      </c>
      <c r="J66" s="12"/>
      <c r="K66" s="19">
        <f>IF(Tabla15[[#This Row],[Duracion Real (dia)]]="",K65,L65)</f>
        <v>45957</v>
      </c>
      <c r="L66" s="19">
        <f>IF(Tabla15[[#This Row],[Duracion Real (dia)]]="",L65,Tabla15[[#This Row],[Inicio Real]]+Tabla15[[#This Row],[Duracion Real (dia)]])</f>
        <v>45958</v>
      </c>
      <c r="M66" s="12"/>
      <c r="N66" s="19" t="s">
        <v>35</v>
      </c>
      <c r="O66" s="13" t="s">
        <v>35</v>
      </c>
      <c r="P66" s="13" t="s">
        <v>35</v>
      </c>
      <c r="Q66" s="13" t="s">
        <v>35</v>
      </c>
      <c r="R66" s="13" t="s">
        <v>35</v>
      </c>
      <c r="S66" s="13" t="s">
        <v>35</v>
      </c>
      <c r="T66" s="13" t="s">
        <v>35</v>
      </c>
    </row>
    <row r="67" spans="1:20" hidden="1">
      <c r="A67" s="9" t="str">
        <f>CONCATENATE($A$62,".",B67)</f>
        <v>1.2.3.5</v>
      </c>
      <c r="B67" s="9">
        <f>IF(B66=" ",1,B66+1)</f>
        <v>5</v>
      </c>
      <c r="C67" s="20" t="s">
        <v>108</v>
      </c>
      <c r="D67" s="15" t="s">
        <v>24</v>
      </c>
      <c r="E67" s="15" t="s">
        <v>85</v>
      </c>
      <c r="F67" s="15" t="str">
        <f>IF(Tabla15[[#This Row],[Columna1]]="","actividad","subactividad")</f>
        <v>subactividad</v>
      </c>
      <c r="G67" s="16"/>
      <c r="H67" s="19">
        <f t="shared" si="4"/>
        <v>45951</v>
      </c>
      <c r="I67" s="19">
        <f>IF(Tabla15[[#This Row],[Duracion ideal (dia)]]="",I66,Tabla15[[#This Row],[Inicio ideal]]+Tabla15[[#This Row],[Duracion ideal (dia)]])</f>
        <v>45951</v>
      </c>
      <c r="J67" s="16"/>
      <c r="K67" s="19">
        <f>IF(Tabla15[[#This Row],[Duracion Real (dia)]]="",K66,L66)</f>
        <v>45957</v>
      </c>
      <c r="L67" s="19">
        <f>IF(Tabla15[[#This Row],[Duracion Real (dia)]]="",L66,Tabla15[[#This Row],[Inicio Real]]+Tabla15[[#This Row],[Duracion Real (dia)]])</f>
        <v>45958</v>
      </c>
      <c r="M67" s="16"/>
      <c r="N67" s="19" t="s">
        <v>35</v>
      </c>
      <c r="O67" s="13" t="s">
        <v>35</v>
      </c>
      <c r="P67" s="13" t="s">
        <v>35</v>
      </c>
      <c r="Q67" s="13" t="s">
        <v>35</v>
      </c>
      <c r="R67" s="13" t="s">
        <v>35</v>
      </c>
      <c r="S67" s="13" t="s">
        <v>35</v>
      </c>
      <c r="T67" s="13" t="s">
        <v>35</v>
      </c>
    </row>
    <row r="68" spans="1:20">
      <c r="A68" s="9" t="s">
        <v>109</v>
      </c>
      <c r="B68" s="9"/>
      <c r="C68" s="17" t="s">
        <v>110</v>
      </c>
      <c r="D68" s="11" t="s">
        <v>24</v>
      </c>
      <c r="E68" s="11" t="s">
        <v>111</v>
      </c>
      <c r="F68" s="15" t="str">
        <f>IF(Tabla15[[#This Row],[Columna1]]="","actividad","subactividad")</f>
        <v>actividad</v>
      </c>
      <c r="G68" s="12" t="s">
        <v>22</v>
      </c>
      <c r="H68" s="19">
        <f t="shared" si="4"/>
        <v>45951</v>
      </c>
      <c r="I68" s="19">
        <f>IF(Tabla15[[#This Row],[Duracion ideal (dia)]]="",I67,Tabla15[[#This Row],[Inicio ideal]]+Tabla15[[#This Row],[Duracion ideal (dia)]])</f>
        <v>45951</v>
      </c>
      <c r="J68" s="12"/>
      <c r="K68" s="19">
        <f>IF(Tabla15[[#This Row],[Duracion Real (dia)]]="",K67,L67)</f>
        <v>45957</v>
      </c>
      <c r="L68" s="19">
        <f>IF(Tabla15[[#This Row],[Duracion Real (dia)]]="",L67,Tabla15[[#This Row],[Inicio Real]]+Tabla15[[#This Row],[Duracion Real (dia)]])</f>
        <v>45958</v>
      </c>
      <c r="M68" s="12"/>
      <c r="N68" s="19" t="s">
        <v>35</v>
      </c>
      <c r="O68" s="13" t="s">
        <v>35</v>
      </c>
      <c r="P68" s="13" t="s">
        <v>35</v>
      </c>
      <c r="Q68" s="13" t="s">
        <v>35</v>
      </c>
      <c r="R68" s="13" t="s">
        <v>35</v>
      </c>
      <c r="S68" s="13" t="s">
        <v>35</v>
      </c>
      <c r="T68" s="13" t="s">
        <v>35</v>
      </c>
    </row>
    <row r="69" spans="1:20">
      <c r="A69" s="9" t="s">
        <v>112</v>
      </c>
      <c r="B69" s="9"/>
      <c r="C69" s="21" t="s">
        <v>113</v>
      </c>
      <c r="D69" s="15" t="s">
        <v>24</v>
      </c>
      <c r="E69" s="15" t="s">
        <v>111</v>
      </c>
      <c r="F69" s="15" t="str">
        <f>IF(Tabla15[[#This Row],[Columna1]]="","actividad","subactividad")</f>
        <v>actividad</v>
      </c>
      <c r="G69" s="16" t="s">
        <v>32</v>
      </c>
      <c r="H69" s="24">
        <f t="shared" si="4"/>
        <v>45951</v>
      </c>
      <c r="I69" s="24">
        <f>IF(Tabla15[[#This Row],[Duracion ideal (dia)]]="",I68,Tabla15[[#This Row],[Inicio ideal]]+Tabla15[[#This Row],[Duracion ideal (dia)]])</f>
        <v>45952</v>
      </c>
      <c r="J69" s="16">
        <v>1</v>
      </c>
      <c r="K69" s="24">
        <f>IF(Tabla15[[#This Row],[Duracion Real (dia)]]="",K68,L68)</f>
        <v>45958</v>
      </c>
      <c r="L69" s="24">
        <f>IF(Tabla15[[#This Row],[Duracion Real (dia)]]="",L68,Tabla15[[#This Row],[Inicio Real]]+Tabla15[[#This Row],[Duracion Real (dia)]])</f>
        <v>45959</v>
      </c>
      <c r="M69" s="16">
        <v>1</v>
      </c>
      <c r="N69" s="19" t="s">
        <v>69</v>
      </c>
      <c r="O69" s="13">
        <v>60795.49</v>
      </c>
      <c r="P69" s="13">
        <v>1845.15</v>
      </c>
      <c r="Q69" s="13">
        <v>62640.639999999999</v>
      </c>
      <c r="R69" s="13">
        <v>62410.869999999995</v>
      </c>
      <c r="S69" s="13">
        <v>79034.137000000002</v>
      </c>
      <c r="T69" s="13">
        <v>79034.137000000002</v>
      </c>
    </row>
    <row r="70" spans="1:20" hidden="1">
      <c r="A70" s="9" t="str">
        <f>CONCATENATE($A$69,".",B70)</f>
        <v>1.3.1.1</v>
      </c>
      <c r="B70" s="9">
        <f>IF(B69=" ",1,B69+1)</f>
        <v>1</v>
      </c>
      <c r="C70" s="10" t="s">
        <v>114</v>
      </c>
      <c r="D70" s="11" t="s">
        <v>24</v>
      </c>
      <c r="E70" s="11" t="s">
        <v>111</v>
      </c>
      <c r="F70" s="15" t="str">
        <f>IF(Tabla15[[#This Row],[Columna1]]="","actividad","subactividad")</f>
        <v>subactividad</v>
      </c>
      <c r="G70" s="12"/>
      <c r="H70" s="19">
        <f t="shared" si="4"/>
        <v>45952</v>
      </c>
      <c r="I70" s="19">
        <f>IF(Tabla15[[#This Row],[Duracion ideal (dia)]]="",I69,Tabla15[[#This Row],[Inicio ideal]]+Tabla15[[#This Row],[Duracion ideal (dia)]])</f>
        <v>45952</v>
      </c>
      <c r="J70" s="12"/>
      <c r="K70" s="19">
        <f>IF(Tabla15[[#This Row],[Duracion Real (dia)]]="",K69,L69)</f>
        <v>45958</v>
      </c>
      <c r="L70" s="19">
        <f>IF(Tabla15[[#This Row],[Duracion Real (dia)]]="",L69,Tabla15[[#This Row],[Inicio Real]]+Tabla15[[#This Row],[Duracion Real (dia)]])</f>
        <v>45959</v>
      </c>
      <c r="M70" s="12"/>
      <c r="N70" s="19" t="s">
        <v>35</v>
      </c>
      <c r="O70" s="13" t="s">
        <v>35</v>
      </c>
      <c r="P70" s="13" t="s">
        <v>35</v>
      </c>
      <c r="Q70" s="13" t="s">
        <v>35</v>
      </c>
      <c r="R70" s="13" t="s">
        <v>35</v>
      </c>
      <c r="S70" s="13" t="s">
        <v>35</v>
      </c>
      <c r="T70" s="13" t="s">
        <v>35</v>
      </c>
    </row>
    <row r="71" spans="1:20" hidden="1">
      <c r="A71" s="9" t="str">
        <f>CONCATENATE($A$69,".",B71)</f>
        <v>1.3.1.2</v>
      </c>
      <c r="B71" s="9">
        <f>IF(B70=" ",1,B70+1)</f>
        <v>2</v>
      </c>
      <c r="C71" s="20" t="s">
        <v>115</v>
      </c>
      <c r="D71" s="15" t="s">
        <v>24</v>
      </c>
      <c r="E71" s="15" t="s">
        <v>111</v>
      </c>
      <c r="F71" s="15" t="str">
        <f>IF(Tabla15[[#This Row],[Columna1]]="","actividad","subactividad")</f>
        <v>subactividad</v>
      </c>
      <c r="G71" s="16"/>
      <c r="H71" s="19">
        <f t="shared" si="4"/>
        <v>45952</v>
      </c>
      <c r="I71" s="19">
        <f>IF(Tabla15[[#This Row],[Duracion ideal (dia)]]="",I70,Tabla15[[#This Row],[Inicio ideal]]+Tabla15[[#This Row],[Duracion ideal (dia)]])</f>
        <v>45952</v>
      </c>
      <c r="J71" s="16"/>
      <c r="K71" s="19">
        <f>IF(Tabla15[[#This Row],[Duracion Real (dia)]]="",K70,L70)</f>
        <v>45958</v>
      </c>
      <c r="L71" s="19">
        <f>IF(Tabla15[[#This Row],[Duracion Real (dia)]]="",L70,Tabla15[[#This Row],[Inicio Real]]+Tabla15[[#This Row],[Duracion Real (dia)]])</f>
        <v>45959</v>
      </c>
      <c r="M71" s="16"/>
      <c r="N71" s="19" t="s">
        <v>35</v>
      </c>
      <c r="O71" s="13" t="s">
        <v>35</v>
      </c>
      <c r="P71" s="13" t="s">
        <v>35</v>
      </c>
      <c r="Q71" s="13" t="s">
        <v>35</v>
      </c>
      <c r="R71" s="13" t="s">
        <v>35</v>
      </c>
      <c r="S71" s="13" t="s">
        <v>35</v>
      </c>
      <c r="T71" s="13" t="s">
        <v>35</v>
      </c>
    </row>
    <row r="72" spans="1:20" hidden="1">
      <c r="A72" s="9" t="str">
        <f>CONCATENATE($A$69,".",B72)</f>
        <v>1.3.1.3</v>
      </c>
      <c r="B72" s="9">
        <f>IF(B71=" ",1,B71+1)</f>
        <v>3</v>
      </c>
      <c r="C72" s="10" t="s">
        <v>116</v>
      </c>
      <c r="D72" s="11" t="s">
        <v>24</v>
      </c>
      <c r="E72" s="11" t="s">
        <v>111</v>
      </c>
      <c r="F72" s="15" t="str">
        <f>IF(Tabla15[[#This Row],[Columna1]]="","actividad","subactividad")</f>
        <v>subactividad</v>
      </c>
      <c r="G72" s="12"/>
      <c r="H72" s="19">
        <f t="shared" si="4"/>
        <v>45952</v>
      </c>
      <c r="I72" s="19">
        <f>IF(Tabla15[[#This Row],[Duracion ideal (dia)]]="",I71,Tabla15[[#This Row],[Inicio ideal]]+Tabla15[[#This Row],[Duracion ideal (dia)]])</f>
        <v>45952</v>
      </c>
      <c r="J72" s="12"/>
      <c r="K72" s="19">
        <f>IF(Tabla15[[#This Row],[Duracion Real (dia)]]="",K71,L71)</f>
        <v>45958</v>
      </c>
      <c r="L72" s="19">
        <f>IF(Tabla15[[#This Row],[Duracion Real (dia)]]="",L71,Tabla15[[#This Row],[Inicio Real]]+Tabla15[[#This Row],[Duracion Real (dia)]])</f>
        <v>45959</v>
      </c>
      <c r="M72" s="12"/>
      <c r="N72" s="19" t="s">
        <v>35</v>
      </c>
      <c r="O72" s="13" t="s">
        <v>35</v>
      </c>
      <c r="P72" s="13" t="s">
        <v>35</v>
      </c>
      <c r="Q72" s="13" t="s">
        <v>35</v>
      </c>
      <c r="R72" s="13" t="s">
        <v>35</v>
      </c>
      <c r="S72" s="13" t="s">
        <v>35</v>
      </c>
      <c r="T72" s="13" t="s">
        <v>35</v>
      </c>
    </row>
    <row r="73" spans="1:20" hidden="1">
      <c r="A73" s="9" t="str">
        <f>CONCATENATE($A$69,".",B73)</f>
        <v>1.3.1.4</v>
      </c>
      <c r="B73" s="9">
        <f>IF(B72=" ",1,B72+1)</f>
        <v>4</v>
      </c>
      <c r="C73" s="20" t="s">
        <v>117</v>
      </c>
      <c r="D73" s="15" t="s">
        <v>24</v>
      </c>
      <c r="E73" s="15" t="s">
        <v>111</v>
      </c>
      <c r="F73" s="15" t="str">
        <f>IF(Tabla15[[#This Row],[Columna1]]="","actividad","subactividad")</f>
        <v>subactividad</v>
      </c>
      <c r="G73" s="16"/>
      <c r="H73" s="19">
        <f t="shared" si="4"/>
        <v>45952</v>
      </c>
      <c r="I73" s="19">
        <f>IF(Tabla15[[#This Row],[Duracion ideal (dia)]]="",I72,Tabla15[[#This Row],[Inicio ideal]]+Tabla15[[#This Row],[Duracion ideal (dia)]])</f>
        <v>45952</v>
      </c>
      <c r="J73" s="16"/>
      <c r="K73" s="19">
        <f>IF(Tabla15[[#This Row],[Duracion Real (dia)]]="",K72,L72)</f>
        <v>45958</v>
      </c>
      <c r="L73" s="19">
        <f>IF(Tabla15[[#This Row],[Duracion Real (dia)]]="",L72,Tabla15[[#This Row],[Inicio Real]]+Tabla15[[#This Row],[Duracion Real (dia)]])</f>
        <v>45959</v>
      </c>
      <c r="M73" s="16"/>
      <c r="N73" s="19" t="s">
        <v>35</v>
      </c>
      <c r="O73" s="13" t="s">
        <v>35</v>
      </c>
      <c r="P73" s="13" t="s">
        <v>35</v>
      </c>
      <c r="Q73" s="13" t="s">
        <v>35</v>
      </c>
      <c r="R73" s="13" t="s">
        <v>35</v>
      </c>
      <c r="S73" s="13" t="s">
        <v>35</v>
      </c>
      <c r="T73" s="13" t="s">
        <v>35</v>
      </c>
    </row>
    <row r="74" spans="1:20" hidden="1">
      <c r="A74" s="9" t="str">
        <f>CONCATENATE($A$69,".",B74)</f>
        <v>1.3.1.5</v>
      </c>
      <c r="B74" s="9">
        <f>IF(B73=" ",1,B73+1)</f>
        <v>5</v>
      </c>
      <c r="C74" s="10" t="s">
        <v>118</v>
      </c>
      <c r="D74" s="11" t="s">
        <v>24</v>
      </c>
      <c r="E74" s="11" t="s">
        <v>111</v>
      </c>
      <c r="F74" s="15" t="str">
        <f>IF(Tabla15[[#This Row],[Columna1]]="","actividad","subactividad")</f>
        <v>subactividad</v>
      </c>
      <c r="G74" s="12"/>
      <c r="H74" s="19">
        <f t="shared" si="4"/>
        <v>45952</v>
      </c>
      <c r="I74" s="19">
        <f>IF(Tabla15[[#This Row],[Duracion ideal (dia)]]="",I73,Tabla15[[#This Row],[Inicio ideal]]+Tabla15[[#This Row],[Duracion ideal (dia)]])</f>
        <v>45952</v>
      </c>
      <c r="J74" s="12"/>
      <c r="K74" s="19">
        <f>IF(Tabla15[[#This Row],[Duracion Real (dia)]]="",K73,L73)</f>
        <v>45958</v>
      </c>
      <c r="L74" s="19">
        <f>IF(Tabla15[[#This Row],[Duracion Real (dia)]]="",L73,Tabla15[[#This Row],[Inicio Real]]+Tabla15[[#This Row],[Duracion Real (dia)]])</f>
        <v>45959</v>
      </c>
      <c r="M74" s="12"/>
      <c r="N74" s="19" t="s">
        <v>35</v>
      </c>
      <c r="O74" s="13" t="s">
        <v>35</v>
      </c>
      <c r="P74" s="13" t="s">
        <v>35</v>
      </c>
      <c r="Q74" s="13" t="s">
        <v>35</v>
      </c>
      <c r="R74" s="13" t="s">
        <v>35</v>
      </c>
      <c r="S74" s="13" t="s">
        <v>35</v>
      </c>
      <c r="T74" s="13" t="s">
        <v>35</v>
      </c>
    </row>
    <row r="75" spans="1:20">
      <c r="A75" s="9">
        <v>2</v>
      </c>
      <c r="B75" s="9"/>
      <c r="C75" s="14" t="s">
        <v>119</v>
      </c>
      <c r="D75" s="15" t="s">
        <v>119</v>
      </c>
      <c r="E75" s="15" t="s">
        <v>29</v>
      </c>
      <c r="F75" s="15" t="str">
        <f>IF(Tabla15[[#This Row],[Columna1]]="","actividad","subactividad")</f>
        <v>actividad</v>
      </c>
      <c r="G75" s="16" t="s">
        <v>22</v>
      </c>
      <c r="H75" s="19">
        <f t="shared" si="4"/>
        <v>45952</v>
      </c>
      <c r="I75" s="19">
        <f>IF(Tabla15[[#This Row],[Duracion ideal (dia)]]="",I74,Tabla15[[#This Row],[Inicio ideal]]+Tabla15[[#This Row],[Duracion ideal (dia)]])</f>
        <v>45952</v>
      </c>
      <c r="J75" s="16"/>
      <c r="K75" s="19">
        <f>IF(Tabla15[[#This Row],[Duracion Real (dia)]]="",K74,L74)</f>
        <v>45958</v>
      </c>
      <c r="L75" s="19">
        <f>IF(Tabla15[[#This Row],[Duracion Real (dia)]]="",L74,Tabla15[[#This Row],[Inicio Real]]+Tabla15[[#This Row],[Duracion Real (dia)]])</f>
        <v>45959</v>
      </c>
      <c r="M75" s="16"/>
      <c r="N75" s="19" t="s">
        <v>35</v>
      </c>
      <c r="O75" s="13" t="s">
        <v>35</v>
      </c>
      <c r="P75" s="13" t="s">
        <v>35</v>
      </c>
      <c r="Q75" s="13" t="s">
        <v>35</v>
      </c>
      <c r="R75" s="13" t="s">
        <v>35</v>
      </c>
      <c r="S75" s="13" t="s">
        <v>35</v>
      </c>
      <c r="T75" s="13" t="s">
        <v>35</v>
      </c>
    </row>
    <row r="76" spans="1:20">
      <c r="A76" s="9" t="s">
        <v>120</v>
      </c>
      <c r="B76" s="9"/>
      <c r="C76" s="17" t="s">
        <v>121</v>
      </c>
      <c r="D76" s="11" t="s">
        <v>119</v>
      </c>
      <c r="E76" s="11" t="s">
        <v>29</v>
      </c>
      <c r="F76" s="15" t="str">
        <f>IF(Tabla15[[#This Row],[Columna1]]="","actividad","subactividad")</f>
        <v>actividad</v>
      </c>
      <c r="G76" s="12" t="s">
        <v>22</v>
      </c>
      <c r="H76" s="19">
        <f t="shared" si="4"/>
        <v>45952</v>
      </c>
      <c r="I76" s="19">
        <f>IF(Tabla15[[#This Row],[Duracion ideal (dia)]]="",I75,Tabla15[[#This Row],[Inicio ideal]]+Tabla15[[#This Row],[Duracion ideal (dia)]])</f>
        <v>45952</v>
      </c>
      <c r="J76" s="12"/>
      <c r="K76" s="19">
        <f>IF(Tabla15[[#This Row],[Duracion Real (dia)]]="",K75,L75)</f>
        <v>45958</v>
      </c>
      <c r="L76" s="19">
        <f>IF(Tabla15[[#This Row],[Duracion Real (dia)]]="",L75,Tabla15[[#This Row],[Inicio Real]]+Tabla15[[#This Row],[Duracion Real (dia)]])</f>
        <v>45959</v>
      </c>
      <c r="M76" s="12"/>
      <c r="N76" s="19" t="s">
        <v>35</v>
      </c>
      <c r="O76" s="13" t="s">
        <v>35</v>
      </c>
      <c r="P76" s="13" t="s">
        <v>35</v>
      </c>
      <c r="Q76" s="13" t="s">
        <v>35</v>
      </c>
      <c r="R76" s="13" t="s">
        <v>35</v>
      </c>
      <c r="S76" s="13" t="s">
        <v>35</v>
      </c>
      <c r="T76" s="13" t="s">
        <v>35</v>
      </c>
    </row>
    <row r="77" spans="1:20">
      <c r="A77" s="9" t="s">
        <v>122</v>
      </c>
      <c r="B77" s="9"/>
      <c r="C77" s="21" t="s">
        <v>123</v>
      </c>
      <c r="D77" s="15" t="s">
        <v>119</v>
      </c>
      <c r="E77" s="15" t="s">
        <v>29</v>
      </c>
      <c r="F77" s="15" t="str">
        <f>IF(Tabla15[[#This Row],[Columna1]]="","actividad","subactividad")</f>
        <v>actividad</v>
      </c>
      <c r="G77" s="16" t="s">
        <v>32</v>
      </c>
      <c r="H77" s="19">
        <f t="shared" si="4"/>
        <v>45952</v>
      </c>
      <c r="I77" s="19">
        <f>IF(Tabla15[[#This Row],[Duracion ideal (dia)]]="",I76,Tabla15[[#This Row],[Inicio ideal]]+Tabla15[[#This Row],[Duracion ideal (dia)]])</f>
        <v>45957</v>
      </c>
      <c r="J77" s="16">
        <v>5</v>
      </c>
      <c r="K77" s="19">
        <f>IF(Tabla15[[#This Row],[Duracion Real (dia)]]="",K76,L76)</f>
        <v>45959</v>
      </c>
      <c r="L77" s="19">
        <f>IF(Tabla15[[#This Row],[Duracion Real (dia)]]="",L76,Tabla15[[#This Row],[Inicio Real]]+Tabla15[[#This Row],[Duracion Real (dia)]])</f>
        <v>45964</v>
      </c>
      <c r="M77" s="16">
        <v>5</v>
      </c>
      <c r="N77" s="19" t="s">
        <v>69</v>
      </c>
      <c r="O77" s="13">
        <v>60795.49</v>
      </c>
      <c r="P77" s="13">
        <v>8076.9000000000005</v>
      </c>
      <c r="Q77" s="13">
        <v>68872.39</v>
      </c>
      <c r="R77" s="13">
        <v>68872.39</v>
      </c>
      <c r="S77" s="13">
        <v>79034.137000000002</v>
      </c>
      <c r="T77" s="13">
        <v>79034.137000000002</v>
      </c>
    </row>
    <row r="78" spans="1:20" hidden="1">
      <c r="A78" s="9" t="str">
        <f t="shared" ref="A78:A83" si="6">CONCATENATE($A$77,".",B78)</f>
        <v>2.1.1.1</v>
      </c>
      <c r="B78" s="9">
        <f t="shared" ref="B78:B83" si="7">IF(B77=" ",1,B77+1)</f>
        <v>1</v>
      </c>
      <c r="C78" s="10" t="s">
        <v>124</v>
      </c>
      <c r="D78" s="11" t="s">
        <v>119</v>
      </c>
      <c r="E78" s="11" t="s">
        <v>29</v>
      </c>
      <c r="F78" s="15" t="str">
        <f>IF(Tabla15[[#This Row],[Columna1]]="","actividad","subactividad")</f>
        <v>subactividad</v>
      </c>
      <c r="G78" s="12"/>
      <c r="H78" s="19">
        <f t="shared" si="4"/>
        <v>45957</v>
      </c>
      <c r="I78" s="19">
        <f>IF(Tabla15[[#This Row],[Duracion ideal (dia)]]="",I77,Tabla15[[#This Row],[Inicio ideal]]+Tabla15[[#This Row],[Duracion ideal (dia)]])</f>
        <v>45957</v>
      </c>
      <c r="J78" s="12"/>
      <c r="K78" s="19">
        <f>IF(Tabla15[[#This Row],[Duracion Real (dia)]]="",K77,L77)</f>
        <v>45959</v>
      </c>
      <c r="L78" s="19">
        <f>IF(Tabla15[[#This Row],[Duracion Real (dia)]]="",L77,Tabla15[[#This Row],[Inicio Real]]+Tabla15[[#This Row],[Duracion Real (dia)]])</f>
        <v>45964</v>
      </c>
      <c r="M78" s="12"/>
      <c r="N78" s="19" t="s">
        <v>35</v>
      </c>
      <c r="O78" s="13" t="s">
        <v>35</v>
      </c>
      <c r="P78" s="13" t="s">
        <v>35</v>
      </c>
      <c r="Q78" s="13" t="s">
        <v>35</v>
      </c>
      <c r="R78" s="13" t="s">
        <v>35</v>
      </c>
      <c r="S78" s="13" t="s">
        <v>35</v>
      </c>
      <c r="T78" s="13" t="s">
        <v>35</v>
      </c>
    </row>
    <row r="79" spans="1:20" hidden="1">
      <c r="A79" s="9" t="str">
        <f t="shared" si="6"/>
        <v>2.1.1.2</v>
      </c>
      <c r="B79" s="9">
        <f t="shared" si="7"/>
        <v>2</v>
      </c>
      <c r="C79" s="20" t="s">
        <v>125</v>
      </c>
      <c r="D79" s="15" t="s">
        <v>119</v>
      </c>
      <c r="E79" s="15" t="s">
        <v>29</v>
      </c>
      <c r="F79" s="15" t="str">
        <f>IF(Tabla15[[#This Row],[Columna1]]="","actividad","subactividad")</f>
        <v>subactividad</v>
      </c>
      <c r="G79" s="16"/>
      <c r="H79" s="19">
        <f t="shared" si="4"/>
        <v>45957</v>
      </c>
      <c r="I79" s="19">
        <f>IF(Tabla15[[#This Row],[Duracion ideal (dia)]]="",I78,Tabla15[[#This Row],[Inicio ideal]]+Tabla15[[#This Row],[Duracion ideal (dia)]])</f>
        <v>45957</v>
      </c>
      <c r="J79" s="16"/>
      <c r="K79" s="19">
        <f>IF(Tabla15[[#This Row],[Duracion Real (dia)]]="",K78,L78)</f>
        <v>45959</v>
      </c>
      <c r="L79" s="19">
        <f>IF(Tabla15[[#This Row],[Duracion Real (dia)]]="",L78,Tabla15[[#This Row],[Inicio Real]]+Tabla15[[#This Row],[Duracion Real (dia)]])</f>
        <v>45964</v>
      </c>
      <c r="M79" s="16"/>
      <c r="N79" s="19" t="s">
        <v>35</v>
      </c>
      <c r="O79" s="13" t="s">
        <v>35</v>
      </c>
      <c r="P79" s="13" t="s">
        <v>35</v>
      </c>
      <c r="Q79" s="13" t="s">
        <v>35</v>
      </c>
      <c r="R79" s="13" t="s">
        <v>35</v>
      </c>
      <c r="S79" s="13" t="s">
        <v>35</v>
      </c>
      <c r="T79" s="13" t="s">
        <v>35</v>
      </c>
    </row>
    <row r="80" spans="1:20" hidden="1">
      <c r="A80" s="9" t="str">
        <f t="shared" si="6"/>
        <v>2.1.1.3</v>
      </c>
      <c r="B80" s="9">
        <f t="shared" si="7"/>
        <v>3</v>
      </c>
      <c r="C80" s="10" t="s">
        <v>126</v>
      </c>
      <c r="D80" s="11" t="s">
        <v>119</v>
      </c>
      <c r="E80" s="11" t="s">
        <v>29</v>
      </c>
      <c r="F80" s="15" t="str">
        <f>IF(Tabla15[[#This Row],[Columna1]]="","actividad","subactividad")</f>
        <v>subactividad</v>
      </c>
      <c r="G80" s="12"/>
      <c r="H80" s="19">
        <f t="shared" si="4"/>
        <v>45957</v>
      </c>
      <c r="I80" s="19">
        <f>IF(Tabla15[[#This Row],[Duracion ideal (dia)]]="",I79,Tabla15[[#This Row],[Inicio ideal]]+Tabla15[[#This Row],[Duracion ideal (dia)]])</f>
        <v>45957</v>
      </c>
      <c r="J80" s="12"/>
      <c r="K80" s="19">
        <f>IF(Tabla15[[#This Row],[Duracion Real (dia)]]="",K79,L79)</f>
        <v>45959</v>
      </c>
      <c r="L80" s="19">
        <f>IF(Tabla15[[#This Row],[Duracion Real (dia)]]="",L79,Tabla15[[#This Row],[Inicio Real]]+Tabla15[[#This Row],[Duracion Real (dia)]])</f>
        <v>45964</v>
      </c>
      <c r="M80" s="12"/>
      <c r="N80" s="19" t="s">
        <v>35</v>
      </c>
      <c r="O80" s="13" t="s">
        <v>35</v>
      </c>
      <c r="P80" s="13" t="s">
        <v>35</v>
      </c>
      <c r="Q80" s="13" t="s">
        <v>35</v>
      </c>
      <c r="R80" s="13" t="s">
        <v>35</v>
      </c>
      <c r="S80" s="13" t="s">
        <v>35</v>
      </c>
      <c r="T80" s="13" t="s">
        <v>35</v>
      </c>
    </row>
    <row r="81" spans="1:20" hidden="1">
      <c r="A81" s="9" t="str">
        <f t="shared" si="6"/>
        <v>2.1.1.4</v>
      </c>
      <c r="B81" s="9">
        <f t="shared" si="7"/>
        <v>4</v>
      </c>
      <c r="C81" s="20" t="s">
        <v>127</v>
      </c>
      <c r="D81" s="15" t="s">
        <v>119</v>
      </c>
      <c r="E81" s="15" t="s">
        <v>29</v>
      </c>
      <c r="F81" s="15" t="str">
        <f>IF(Tabla15[[#This Row],[Columna1]]="","actividad","subactividad")</f>
        <v>subactividad</v>
      </c>
      <c r="G81" s="16"/>
      <c r="H81" s="19">
        <f t="shared" si="4"/>
        <v>45957</v>
      </c>
      <c r="I81" s="19">
        <f>IF(Tabla15[[#This Row],[Duracion ideal (dia)]]="",I80,Tabla15[[#This Row],[Inicio ideal]]+Tabla15[[#This Row],[Duracion ideal (dia)]])</f>
        <v>45957</v>
      </c>
      <c r="J81" s="16"/>
      <c r="K81" s="19">
        <f>IF(Tabla15[[#This Row],[Duracion Real (dia)]]="",K80,L80)</f>
        <v>45959</v>
      </c>
      <c r="L81" s="19">
        <f>IF(Tabla15[[#This Row],[Duracion Real (dia)]]="",L80,Tabla15[[#This Row],[Inicio Real]]+Tabla15[[#This Row],[Duracion Real (dia)]])</f>
        <v>45964</v>
      </c>
      <c r="M81" s="16"/>
      <c r="N81" s="19" t="s">
        <v>35</v>
      </c>
      <c r="O81" s="13" t="s">
        <v>35</v>
      </c>
      <c r="P81" s="13" t="s">
        <v>35</v>
      </c>
      <c r="Q81" s="13" t="s">
        <v>35</v>
      </c>
      <c r="R81" s="13" t="s">
        <v>35</v>
      </c>
      <c r="S81" s="13" t="s">
        <v>35</v>
      </c>
      <c r="T81" s="13" t="s">
        <v>35</v>
      </c>
    </row>
    <row r="82" spans="1:20" hidden="1">
      <c r="A82" s="9" t="str">
        <f t="shared" si="6"/>
        <v>2.1.1.5</v>
      </c>
      <c r="B82" s="9">
        <f t="shared" si="7"/>
        <v>5</v>
      </c>
      <c r="C82" s="10" t="s">
        <v>128</v>
      </c>
      <c r="D82" s="11" t="s">
        <v>119</v>
      </c>
      <c r="E82" s="11" t="s">
        <v>29</v>
      </c>
      <c r="F82" s="15" t="str">
        <f>IF(Tabla15[[#This Row],[Columna1]]="","actividad","subactividad")</f>
        <v>subactividad</v>
      </c>
      <c r="G82" s="12"/>
      <c r="H82" s="19">
        <f t="shared" si="4"/>
        <v>45957</v>
      </c>
      <c r="I82" s="19">
        <f>IF(Tabla15[[#This Row],[Duracion ideal (dia)]]="",I81,Tabla15[[#This Row],[Inicio ideal]]+Tabla15[[#This Row],[Duracion ideal (dia)]])</f>
        <v>45957</v>
      </c>
      <c r="J82" s="12"/>
      <c r="K82" s="19">
        <f>IF(Tabla15[[#This Row],[Duracion Real (dia)]]="",K81,L81)</f>
        <v>45959</v>
      </c>
      <c r="L82" s="19">
        <f>IF(Tabla15[[#This Row],[Duracion Real (dia)]]="",L81,Tabla15[[#This Row],[Inicio Real]]+Tabla15[[#This Row],[Duracion Real (dia)]])</f>
        <v>45964</v>
      </c>
      <c r="M82" s="12"/>
      <c r="N82" s="19" t="s">
        <v>35</v>
      </c>
      <c r="O82" s="13" t="s">
        <v>35</v>
      </c>
      <c r="P82" s="13" t="s">
        <v>35</v>
      </c>
      <c r="Q82" s="13" t="s">
        <v>35</v>
      </c>
      <c r="R82" s="13" t="s">
        <v>35</v>
      </c>
      <c r="S82" s="13" t="s">
        <v>35</v>
      </c>
      <c r="T82" s="13" t="s">
        <v>35</v>
      </c>
    </row>
    <row r="83" spans="1:20" hidden="1">
      <c r="A83" s="9" t="str">
        <f t="shared" si="6"/>
        <v>2.1.1.6</v>
      </c>
      <c r="B83" s="9">
        <f t="shared" si="7"/>
        <v>6</v>
      </c>
      <c r="C83" s="20" t="s">
        <v>129</v>
      </c>
      <c r="D83" s="15" t="s">
        <v>119</v>
      </c>
      <c r="E83" s="15" t="s">
        <v>29</v>
      </c>
      <c r="F83" s="15" t="str">
        <f>IF(Tabla15[[#This Row],[Columna1]]="","actividad","subactividad")</f>
        <v>subactividad</v>
      </c>
      <c r="G83" s="16"/>
      <c r="H83" s="19">
        <f t="shared" si="4"/>
        <v>45957</v>
      </c>
      <c r="I83" s="19">
        <f>IF(Tabla15[[#This Row],[Duracion ideal (dia)]]="",I82,Tabla15[[#This Row],[Inicio ideal]]+Tabla15[[#This Row],[Duracion ideal (dia)]])</f>
        <v>45957</v>
      </c>
      <c r="J83" s="16"/>
      <c r="K83" s="19">
        <f>IF(Tabla15[[#This Row],[Duracion Real (dia)]]="",K82,L82)</f>
        <v>45959</v>
      </c>
      <c r="L83" s="19">
        <f>IF(Tabla15[[#This Row],[Duracion Real (dia)]]="",L82,Tabla15[[#This Row],[Inicio Real]]+Tabla15[[#This Row],[Duracion Real (dia)]])</f>
        <v>45964</v>
      </c>
      <c r="M83" s="16"/>
      <c r="N83" s="19" t="s">
        <v>35</v>
      </c>
      <c r="O83" s="13" t="s">
        <v>35</v>
      </c>
      <c r="P83" s="13" t="s">
        <v>35</v>
      </c>
      <c r="Q83" s="13" t="s">
        <v>35</v>
      </c>
      <c r="R83" s="13" t="s">
        <v>35</v>
      </c>
      <c r="S83" s="13" t="s">
        <v>35</v>
      </c>
      <c r="T83" s="13" t="s">
        <v>35</v>
      </c>
    </row>
    <row r="84" spans="1:20">
      <c r="A84" s="9" t="s">
        <v>130</v>
      </c>
      <c r="B84" s="9"/>
      <c r="C84" s="22" t="s">
        <v>131</v>
      </c>
      <c r="D84" s="11" t="s">
        <v>119</v>
      </c>
      <c r="E84" s="11" t="s">
        <v>29</v>
      </c>
      <c r="F84" s="15" t="str">
        <f>IF(Tabla15[[#This Row],[Columna1]]="","actividad","subactividad")</f>
        <v>actividad</v>
      </c>
      <c r="G84" s="12" t="s">
        <v>32</v>
      </c>
      <c r="H84" s="19">
        <f t="shared" si="4"/>
        <v>45957</v>
      </c>
      <c r="I84" s="19">
        <f>IF(Tabla15[[#This Row],[Duracion ideal (dia)]]="",I83,Tabla15[[#This Row],[Inicio ideal]]+Tabla15[[#This Row],[Duracion ideal (dia)]])</f>
        <v>45961</v>
      </c>
      <c r="J84" s="12">
        <v>4</v>
      </c>
      <c r="K84" s="19">
        <f>IF(Tabla15[[#This Row],[Duracion Real (dia)]]="",K83,L83)</f>
        <v>45964</v>
      </c>
      <c r="L84" s="19">
        <f>IF(Tabla15[[#This Row],[Duracion Real (dia)]]="",L83,Tabla15[[#This Row],[Inicio Real]]+Tabla15[[#This Row],[Duracion Real (dia)]])</f>
        <v>45969</v>
      </c>
      <c r="M84" s="12">
        <v>5</v>
      </c>
      <c r="N84" s="19" t="s">
        <v>33</v>
      </c>
      <c r="O84" s="13">
        <v>60795.49</v>
      </c>
      <c r="P84" s="13">
        <v>4615.3999999999996</v>
      </c>
      <c r="Q84" s="13">
        <v>65410.89</v>
      </c>
      <c r="R84" s="13">
        <v>65780.09</v>
      </c>
      <c r="S84" s="13">
        <v>79034.137000000002</v>
      </c>
      <c r="T84" s="13">
        <v>79034.137000000002</v>
      </c>
    </row>
    <row r="85" spans="1:20" hidden="1">
      <c r="A85" s="9" t="str">
        <f>CONCATENATE($A$84,".",B85)</f>
        <v>2.1.2.1</v>
      </c>
      <c r="B85" s="9">
        <f>IF(B84=" ",1,B84+1)</f>
        <v>1</v>
      </c>
      <c r="C85" s="20" t="s">
        <v>132</v>
      </c>
      <c r="D85" s="15" t="s">
        <v>119</v>
      </c>
      <c r="E85" s="15" t="s">
        <v>29</v>
      </c>
      <c r="F85" s="15" t="str">
        <f>IF(Tabla15[[#This Row],[Columna1]]="","actividad","subactividad")</f>
        <v>subactividad</v>
      </c>
      <c r="G85" s="16"/>
      <c r="H85" s="19">
        <f t="shared" si="4"/>
        <v>45961</v>
      </c>
      <c r="I85" s="19">
        <f>IF(Tabla15[[#This Row],[Duracion ideal (dia)]]="",I84,Tabla15[[#This Row],[Inicio ideal]]+Tabla15[[#This Row],[Duracion ideal (dia)]])</f>
        <v>45961</v>
      </c>
      <c r="J85" s="16"/>
      <c r="K85" s="19">
        <f>IF(Tabla15[[#This Row],[Duracion Real (dia)]]="",K84,L84)</f>
        <v>45964</v>
      </c>
      <c r="L85" s="19">
        <f>IF(Tabla15[[#This Row],[Duracion Real (dia)]]="",L84,Tabla15[[#This Row],[Inicio Real]]+Tabla15[[#This Row],[Duracion Real (dia)]])</f>
        <v>45969</v>
      </c>
      <c r="M85" s="16"/>
      <c r="N85" s="19" t="s">
        <v>35</v>
      </c>
      <c r="O85" s="13" t="s">
        <v>35</v>
      </c>
      <c r="P85" s="13" t="s">
        <v>35</v>
      </c>
      <c r="Q85" s="13" t="s">
        <v>35</v>
      </c>
      <c r="R85" s="13" t="s">
        <v>35</v>
      </c>
      <c r="S85" s="13" t="s">
        <v>35</v>
      </c>
      <c r="T85" s="13" t="s">
        <v>35</v>
      </c>
    </row>
    <row r="86" spans="1:20" hidden="1">
      <c r="A86" s="9" t="str">
        <f>CONCATENATE($A$84,".",B86)</f>
        <v>2.1.2.2</v>
      </c>
      <c r="B86" s="9">
        <f>IF(B85=" ",1,B85+1)</f>
        <v>2</v>
      </c>
      <c r="C86" s="10" t="s">
        <v>133</v>
      </c>
      <c r="D86" s="11" t="s">
        <v>119</v>
      </c>
      <c r="E86" s="11" t="s">
        <v>29</v>
      </c>
      <c r="F86" s="15" t="str">
        <f>IF(Tabla15[[#This Row],[Columna1]]="","actividad","subactividad")</f>
        <v>subactividad</v>
      </c>
      <c r="G86" s="12"/>
      <c r="H86" s="19">
        <f t="shared" si="4"/>
        <v>45961</v>
      </c>
      <c r="I86" s="19">
        <f>IF(Tabla15[[#This Row],[Duracion ideal (dia)]]="",I85,Tabla15[[#This Row],[Inicio ideal]]+Tabla15[[#This Row],[Duracion ideal (dia)]])</f>
        <v>45961</v>
      </c>
      <c r="J86" s="12"/>
      <c r="K86" s="19">
        <f>IF(Tabla15[[#This Row],[Duracion Real (dia)]]="",K85,L85)</f>
        <v>45964</v>
      </c>
      <c r="L86" s="19">
        <f>IF(Tabla15[[#This Row],[Duracion Real (dia)]]="",L85,Tabla15[[#This Row],[Inicio Real]]+Tabla15[[#This Row],[Duracion Real (dia)]])</f>
        <v>45969</v>
      </c>
      <c r="M86" s="12"/>
      <c r="N86" s="19" t="s">
        <v>35</v>
      </c>
      <c r="O86" s="13" t="s">
        <v>35</v>
      </c>
      <c r="P86" s="13" t="s">
        <v>35</v>
      </c>
      <c r="Q86" s="13" t="s">
        <v>35</v>
      </c>
      <c r="R86" s="13" t="s">
        <v>35</v>
      </c>
      <c r="S86" s="13" t="s">
        <v>35</v>
      </c>
      <c r="T86" s="13" t="s">
        <v>35</v>
      </c>
    </row>
    <row r="87" spans="1:20" hidden="1">
      <c r="A87" s="9" t="str">
        <f>CONCATENATE($A$84,".",B87)</f>
        <v>2.1.2.3</v>
      </c>
      <c r="B87" s="9">
        <f>IF(B86=" ",1,B86+1)</f>
        <v>3</v>
      </c>
      <c r="C87" s="20" t="s">
        <v>134</v>
      </c>
      <c r="D87" s="15" t="s">
        <v>119</v>
      </c>
      <c r="E87" s="15" t="s">
        <v>29</v>
      </c>
      <c r="F87" s="15" t="str">
        <f>IF(Tabla15[[#This Row],[Columna1]]="","actividad","subactividad")</f>
        <v>subactividad</v>
      </c>
      <c r="G87" s="16"/>
      <c r="H87" s="19">
        <f t="shared" si="4"/>
        <v>45961</v>
      </c>
      <c r="I87" s="19">
        <f>IF(Tabla15[[#This Row],[Duracion ideal (dia)]]="",I86,Tabla15[[#This Row],[Inicio ideal]]+Tabla15[[#This Row],[Duracion ideal (dia)]])</f>
        <v>45961</v>
      </c>
      <c r="J87" s="16"/>
      <c r="K87" s="19">
        <f>IF(Tabla15[[#This Row],[Duracion Real (dia)]]="",K86,L86)</f>
        <v>45964</v>
      </c>
      <c r="L87" s="19">
        <f>IF(Tabla15[[#This Row],[Duracion Real (dia)]]="",L86,Tabla15[[#This Row],[Inicio Real]]+Tabla15[[#This Row],[Duracion Real (dia)]])</f>
        <v>45969</v>
      </c>
      <c r="M87" s="16"/>
      <c r="N87" s="19" t="s">
        <v>35</v>
      </c>
      <c r="O87" s="13" t="s">
        <v>35</v>
      </c>
      <c r="P87" s="13" t="s">
        <v>35</v>
      </c>
      <c r="Q87" s="13" t="s">
        <v>35</v>
      </c>
      <c r="R87" s="13" t="s">
        <v>35</v>
      </c>
      <c r="S87" s="13" t="s">
        <v>35</v>
      </c>
      <c r="T87" s="13" t="s">
        <v>35</v>
      </c>
    </row>
    <row r="88" spans="1:20" hidden="1">
      <c r="A88" s="9" t="str">
        <f>CONCATENATE($A$84,".",B88)</f>
        <v>2.1.2.4</v>
      </c>
      <c r="B88" s="9">
        <f>IF(B87=" ",1,B87+1)</f>
        <v>4</v>
      </c>
      <c r="C88" s="10" t="s">
        <v>135</v>
      </c>
      <c r="D88" s="11" t="s">
        <v>119</v>
      </c>
      <c r="E88" s="11" t="s">
        <v>29</v>
      </c>
      <c r="F88" s="15" t="str">
        <f>IF(Tabla15[[#This Row],[Columna1]]="","actividad","subactividad")</f>
        <v>subactividad</v>
      </c>
      <c r="G88" s="12"/>
      <c r="H88" s="19">
        <f t="shared" si="4"/>
        <v>45961</v>
      </c>
      <c r="I88" s="19">
        <f>IF(Tabla15[[#This Row],[Duracion ideal (dia)]]="",I87,Tabla15[[#This Row],[Inicio ideal]]+Tabla15[[#This Row],[Duracion ideal (dia)]])</f>
        <v>45961</v>
      </c>
      <c r="J88" s="12"/>
      <c r="K88" s="19">
        <f>IF(Tabla15[[#This Row],[Duracion Real (dia)]]="",K87,L87)</f>
        <v>45964</v>
      </c>
      <c r="L88" s="19">
        <f>IF(Tabla15[[#This Row],[Duracion Real (dia)]]="",L87,Tabla15[[#This Row],[Inicio Real]]+Tabla15[[#This Row],[Duracion Real (dia)]])</f>
        <v>45969</v>
      </c>
      <c r="M88" s="12"/>
      <c r="N88" s="19" t="s">
        <v>35</v>
      </c>
      <c r="O88" s="13" t="s">
        <v>35</v>
      </c>
      <c r="P88" s="13" t="s">
        <v>35</v>
      </c>
      <c r="Q88" s="13" t="s">
        <v>35</v>
      </c>
      <c r="R88" s="13" t="s">
        <v>35</v>
      </c>
      <c r="S88" s="13" t="s">
        <v>35</v>
      </c>
      <c r="T88" s="13" t="s">
        <v>35</v>
      </c>
    </row>
    <row r="89" spans="1:20" hidden="1">
      <c r="A89" s="9" t="str">
        <f>CONCATENATE($A$84,".",B89)</f>
        <v>2.1.2.5</v>
      </c>
      <c r="B89" s="9">
        <f>IF(B88=" ",1,B88+1)</f>
        <v>5</v>
      </c>
      <c r="C89" s="20" t="s">
        <v>136</v>
      </c>
      <c r="D89" s="15" t="s">
        <v>119</v>
      </c>
      <c r="E89" s="15" t="s">
        <v>29</v>
      </c>
      <c r="F89" s="15" t="str">
        <f>IF(Tabla15[[#This Row],[Columna1]]="","actividad","subactividad")</f>
        <v>subactividad</v>
      </c>
      <c r="G89" s="16"/>
      <c r="H89" s="19">
        <f t="shared" si="4"/>
        <v>45961</v>
      </c>
      <c r="I89" s="19">
        <f>IF(Tabla15[[#This Row],[Duracion ideal (dia)]]="",I88,Tabla15[[#This Row],[Inicio ideal]]+Tabla15[[#This Row],[Duracion ideal (dia)]])</f>
        <v>45961</v>
      </c>
      <c r="J89" s="16"/>
      <c r="K89" s="19">
        <f>IF(Tabla15[[#This Row],[Duracion Real (dia)]]="",K88,L88)</f>
        <v>45964</v>
      </c>
      <c r="L89" s="19">
        <f>IF(Tabla15[[#This Row],[Duracion Real (dia)]]="",L88,Tabla15[[#This Row],[Inicio Real]]+Tabla15[[#This Row],[Duracion Real (dia)]])</f>
        <v>45969</v>
      </c>
      <c r="M89" s="16"/>
      <c r="N89" s="19" t="s">
        <v>35</v>
      </c>
      <c r="O89" s="13" t="s">
        <v>35</v>
      </c>
      <c r="P89" s="13" t="s">
        <v>35</v>
      </c>
      <c r="Q89" s="13" t="s">
        <v>35</v>
      </c>
      <c r="R89" s="13" t="s">
        <v>35</v>
      </c>
      <c r="S89" s="13" t="s">
        <v>35</v>
      </c>
      <c r="T89" s="13" t="s">
        <v>35</v>
      </c>
    </row>
    <row r="90" spans="1:20">
      <c r="A90" s="9" t="s">
        <v>137</v>
      </c>
      <c r="B90" s="9"/>
      <c r="C90" s="22" t="s">
        <v>138</v>
      </c>
      <c r="D90" s="11" t="s">
        <v>119</v>
      </c>
      <c r="E90" s="11" t="s">
        <v>29</v>
      </c>
      <c r="F90" s="15" t="str">
        <f>IF(Tabla15[[#This Row],[Columna1]]="","actividad","subactividad")</f>
        <v>actividad</v>
      </c>
      <c r="G90" s="12" t="s">
        <v>32</v>
      </c>
      <c r="H90" s="19">
        <f t="shared" si="4"/>
        <v>45961</v>
      </c>
      <c r="I90" s="19">
        <f>IF(Tabla15[[#This Row],[Duracion ideal (dia)]]="",I89,Tabla15[[#This Row],[Inicio ideal]]+Tabla15[[#This Row],[Duracion ideal (dia)]])</f>
        <v>45964</v>
      </c>
      <c r="J90" s="12">
        <v>3</v>
      </c>
      <c r="K90" s="19">
        <f>IF(Tabla15[[#This Row],[Duracion Real (dia)]]="",K89,L89)</f>
        <v>45969</v>
      </c>
      <c r="L90" s="19">
        <f>IF(Tabla15[[#This Row],[Duracion Real (dia)]]="",L89,Tabla15[[#This Row],[Inicio Real]]+Tabla15[[#This Row],[Duracion Real (dia)]])</f>
        <v>45972</v>
      </c>
      <c r="M90" s="12">
        <v>3</v>
      </c>
      <c r="N90" s="19" t="s">
        <v>69</v>
      </c>
      <c r="O90" s="13">
        <v>60795.49</v>
      </c>
      <c r="P90" s="13">
        <v>5535.4500000000007</v>
      </c>
      <c r="Q90" s="13">
        <v>66330.94</v>
      </c>
      <c r="R90" s="13">
        <v>65641.63</v>
      </c>
      <c r="S90" s="13">
        <v>79034.137000000002</v>
      </c>
      <c r="T90" s="13">
        <v>79034.137000000002</v>
      </c>
    </row>
    <row r="91" spans="1:20" hidden="1">
      <c r="A91" s="9" t="str">
        <f>CONCATENATE($A$90,".",B91)</f>
        <v>2.1.3.1</v>
      </c>
      <c r="B91" s="9">
        <f>IF(B90=" ",1,B90+1)</f>
        <v>1</v>
      </c>
      <c r="C91" s="20" t="s">
        <v>139</v>
      </c>
      <c r="D91" s="15" t="s">
        <v>119</v>
      </c>
      <c r="E91" s="15" t="s">
        <v>29</v>
      </c>
      <c r="F91" s="15" t="str">
        <f>IF(Tabla15[[#This Row],[Columna1]]="","actividad","subactividad")</f>
        <v>subactividad</v>
      </c>
      <c r="G91" s="16"/>
      <c r="H91" s="19">
        <f t="shared" si="4"/>
        <v>45964</v>
      </c>
      <c r="I91" s="19">
        <f>IF(Tabla15[[#This Row],[Duracion ideal (dia)]]="",I90,Tabla15[[#This Row],[Inicio ideal]]+Tabla15[[#This Row],[Duracion ideal (dia)]])</f>
        <v>45964</v>
      </c>
      <c r="J91" s="16"/>
      <c r="K91" s="19">
        <f>IF(Tabla15[[#This Row],[Duracion Real (dia)]]="",K90,L90)</f>
        <v>45969</v>
      </c>
      <c r="L91" s="19">
        <f>IF(Tabla15[[#This Row],[Duracion Real (dia)]]="",L90,Tabla15[[#This Row],[Inicio Real]]+Tabla15[[#This Row],[Duracion Real (dia)]])</f>
        <v>45972</v>
      </c>
      <c r="M91" s="16"/>
      <c r="N91" s="19" t="s">
        <v>35</v>
      </c>
      <c r="O91" s="13" t="s">
        <v>35</v>
      </c>
      <c r="P91" s="13" t="s">
        <v>35</v>
      </c>
      <c r="Q91" s="13" t="s">
        <v>35</v>
      </c>
      <c r="R91" s="13" t="s">
        <v>35</v>
      </c>
      <c r="S91" s="13" t="s">
        <v>35</v>
      </c>
      <c r="T91" s="13" t="s">
        <v>35</v>
      </c>
    </row>
    <row r="92" spans="1:20" hidden="1">
      <c r="A92" s="9" t="str">
        <f>CONCATENATE($A$90,".",B92)</f>
        <v>2.1.3.2</v>
      </c>
      <c r="B92" s="9">
        <f>IF(B91=" ",1,B91+1)</f>
        <v>2</v>
      </c>
      <c r="C92" s="10" t="s">
        <v>140</v>
      </c>
      <c r="D92" s="11" t="s">
        <v>119</v>
      </c>
      <c r="E92" s="11" t="s">
        <v>29</v>
      </c>
      <c r="F92" s="15" t="str">
        <f>IF(Tabla15[[#This Row],[Columna1]]="","actividad","subactividad")</f>
        <v>subactividad</v>
      </c>
      <c r="G92" s="12"/>
      <c r="H92" s="19">
        <f t="shared" si="4"/>
        <v>45964</v>
      </c>
      <c r="I92" s="19">
        <f>IF(Tabla15[[#This Row],[Duracion ideal (dia)]]="",I91,Tabla15[[#This Row],[Inicio ideal]]+Tabla15[[#This Row],[Duracion ideal (dia)]])</f>
        <v>45964</v>
      </c>
      <c r="J92" s="12"/>
      <c r="K92" s="19">
        <f>IF(Tabla15[[#This Row],[Duracion Real (dia)]]="",K91,L91)</f>
        <v>45969</v>
      </c>
      <c r="L92" s="19">
        <f>IF(Tabla15[[#This Row],[Duracion Real (dia)]]="",L91,Tabla15[[#This Row],[Inicio Real]]+Tabla15[[#This Row],[Duracion Real (dia)]])</f>
        <v>45972</v>
      </c>
      <c r="M92" s="12"/>
      <c r="N92" s="19" t="s">
        <v>35</v>
      </c>
      <c r="O92" s="13" t="s">
        <v>35</v>
      </c>
      <c r="P92" s="13" t="s">
        <v>35</v>
      </c>
      <c r="Q92" s="13" t="s">
        <v>35</v>
      </c>
      <c r="R92" s="13" t="s">
        <v>35</v>
      </c>
      <c r="S92" s="13" t="s">
        <v>35</v>
      </c>
      <c r="T92" s="13" t="s">
        <v>35</v>
      </c>
    </row>
    <row r="93" spans="1:20" hidden="1">
      <c r="A93" s="9" t="str">
        <f>CONCATENATE($A$90,".",B93)</f>
        <v>2.1.3.3</v>
      </c>
      <c r="B93" s="9">
        <f>IF(B92=" ",1,B92+1)</f>
        <v>3</v>
      </c>
      <c r="C93" s="20" t="s">
        <v>141</v>
      </c>
      <c r="D93" s="15" t="s">
        <v>119</v>
      </c>
      <c r="E93" s="15" t="s">
        <v>29</v>
      </c>
      <c r="F93" s="15" t="str">
        <f>IF(Tabla15[[#This Row],[Columna1]]="","actividad","subactividad")</f>
        <v>subactividad</v>
      </c>
      <c r="G93" s="16"/>
      <c r="H93" s="19">
        <f t="shared" si="4"/>
        <v>45964</v>
      </c>
      <c r="I93" s="19">
        <f>IF(Tabla15[[#This Row],[Duracion ideal (dia)]]="",I92,Tabla15[[#This Row],[Inicio ideal]]+Tabla15[[#This Row],[Duracion ideal (dia)]])</f>
        <v>45964</v>
      </c>
      <c r="J93" s="16"/>
      <c r="K93" s="19">
        <f>IF(Tabla15[[#This Row],[Duracion Real (dia)]]="",K92,L92)</f>
        <v>45969</v>
      </c>
      <c r="L93" s="19">
        <f>IF(Tabla15[[#This Row],[Duracion Real (dia)]]="",L92,Tabla15[[#This Row],[Inicio Real]]+Tabla15[[#This Row],[Duracion Real (dia)]])</f>
        <v>45972</v>
      </c>
      <c r="M93" s="16"/>
      <c r="N93" s="19" t="s">
        <v>35</v>
      </c>
      <c r="O93" s="13" t="s">
        <v>35</v>
      </c>
      <c r="P93" s="13" t="s">
        <v>35</v>
      </c>
      <c r="Q93" s="13" t="s">
        <v>35</v>
      </c>
      <c r="R93" s="13" t="s">
        <v>35</v>
      </c>
      <c r="S93" s="13" t="s">
        <v>35</v>
      </c>
      <c r="T93" s="13" t="s">
        <v>35</v>
      </c>
    </row>
    <row r="94" spans="1:20" hidden="1">
      <c r="A94" s="9" t="str">
        <f>CONCATENATE($A$90,".",B94)</f>
        <v>2.1.3.4</v>
      </c>
      <c r="B94" s="9">
        <f>IF(B93=" ",1,B93+1)</f>
        <v>4</v>
      </c>
      <c r="C94" s="10" t="s">
        <v>142</v>
      </c>
      <c r="D94" s="11" t="s">
        <v>119</v>
      </c>
      <c r="E94" s="11" t="s">
        <v>29</v>
      </c>
      <c r="F94" s="15" t="str">
        <f>IF(Tabla15[[#This Row],[Columna1]]="","actividad","subactividad")</f>
        <v>subactividad</v>
      </c>
      <c r="G94" s="12"/>
      <c r="H94" s="19">
        <f t="shared" si="4"/>
        <v>45964</v>
      </c>
      <c r="I94" s="19">
        <f>IF(Tabla15[[#This Row],[Duracion ideal (dia)]]="",I93,Tabla15[[#This Row],[Inicio ideal]]+Tabla15[[#This Row],[Duracion ideal (dia)]])</f>
        <v>45964</v>
      </c>
      <c r="J94" s="12"/>
      <c r="K94" s="19">
        <f>IF(Tabla15[[#This Row],[Duracion Real (dia)]]="",K93,L93)</f>
        <v>45969</v>
      </c>
      <c r="L94" s="19">
        <f>IF(Tabla15[[#This Row],[Duracion Real (dia)]]="",L93,Tabla15[[#This Row],[Inicio Real]]+Tabla15[[#This Row],[Duracion Real (dia)]])</f>
        <v>45972</v>
      </c>
      <c r="M94" s="12"/>
      <c r="N94" s="19" t="s">
        <v>35</v>
      </c>
      <c r="O94" s="13" t="s">
        <v>35</v>
      </c>
      <c r="P94" s="13" t="s">
        <v>35</v>
      </c>
      <c r="Q94" s="13" t="s">
        <v>35</v>
      </c>
      <c r="R94" s="13" t="s">
        <v>35</v>
      </c>
      <c r="S94" s="13" t="s">
        <v>35</v>
      </c>
      <c r="T94" s="13" t="s">
        <v>35</v>
      </c>
    </row>
    <row r="95" spans="1:20" hidden="1">
      <c r="A95" s="9" t="str">
        <f>CONCATENATE($A$90,".",B95)</f>
        <v>2.1.3.5</v>
      </c>
      <c r="B95" s="9">
        <f>IF(B94=" ",1,B94+1)</f>
        <v>5</v>
      </c>
      <c r="C95" s="20" t="s">
        <v>143</v>
      </c>
      <c r="D95" s="15" t="s">
        <v>119</v>
      </c>
      <c r="E95" s="15" t="s">
        <v>29</v>
      </c>
      <c r="F95" s="15" t="str">
        <f>IF(Tabla15[[#This Row],[Columna1]]="","actividad","subactividad")</f>
        <v>subactividad</v>
      </c>
      <c r="G95" s="16"/>
      <c r="H95" s="19">
        <f t="shared" si="4"/>
        <v>45964</v>
      </c>
      <c r="I95" s="19">
        <f>IF(Tabla15[[#This Row],[Duracion ideal (dia)]]="",I94,Tabla15[[#This Row],[Inicio ideal]]+Tabla15[[#This Row],[Duracion ideal (dia)]])</f>
        <v>45964</v>
      </c>
      <c r="J95" s="16"/>
      <c r="K95" s="19">
        <f>IF(Tabla15[[#This Row],[Duracion Real (dia)]]="",K94,L94)</f>
        <v>45969</v>
      </c>
      <c r="L95" s="19">
        <f>IF(Tabla15[[#This Row],[Duracion Real (dia)]]="",L94,Tabla15[[#This Row],[Inicio Real]]+Tabla15[[#This Row],[Duracion Real (dia)]])</f>
        <v>45972</v>
      </c>
      <c r="M95" s="16"/>
      <c r="N95" s="19" t="s">
        <v>35</v>
      </c>
      <c r="O95" s="13" t="s">
        <v>35</v>
      </c>
      <c r="P95" s="13" t="s">
        <v>35</v>
      </c>
      <c r="Q95" s="13" t="s">
        <v>35</v>
      </c>
      <c r="R95" s="13" t="s">
        <v>35</v>
      </c>
      <c r="S95" s="13" t="s">
        <v>35</v>
      </c>
      <c r="T95" s="13" t="s">
        <v>35</v>
      </c>
    </row>
    <row r="96" spans="1:20">
      <c r="A96" s="9" t="s">
        <v>144</v>
      </c>
      <c r="B96" s="9"/>
      <c r="C96" s="22" t="s">
        <v>145</v>
      </c>
      <c r="D96" s="11" t="s">
        <v>119</v>
      </c>
      <c r="E96" s="11" t="s">
        <v>29</v>
      </c>
      <c r="F96" s="15" t="str">
        <f>IF(Tabla15[[#This Row],[Columna1]]="","actividad","subactividad")</f>
        <v>actividad</v>
      </c>
      <c r="G96" s="12" t="s">
        <v>32</v>
      </c>
      <c r="H96" s="19">
        <f t="shared" si="4"/>
        <v>45964</v>
      </c>
      <c r="I96" s="19">
        <f>IF(Tabla15[[#This Row],[Duracion ideal (dia)]]="",I95,Tabla15[[#This Row],[Inicio ideal]]+Tabla15[[#This Row],[Duracion ideal (dia)]])</f>
        <v>45968</v>
      </c>
      <c r="J96" s="12">
        <v>4</v>
      </c>
      <c r="K96" s="19">
        <f>IF(Tabla15[[#This Row],[Duracion Real (dia)]]="",K95,L95)</f>
        <v>45972</v>
      </c>
      <c r="L96" s="19">
        <f>IF(Tabla15[[#This Row],[Duracion Real (dia)]]="",L95,Tabla15[[#This Row],[Inicio Real]]+Tabla15[[#This Row],[Duracion Real (dia)]])</f>
        <v>45976</v>
      </c>
      <c r="M96" s="12">
        <v>4</v>
      </c>
      <c r="N96" s="19" t="s">
        <v>33</v>
      </c>
      <c r="O96" s="13">
        <v>60795.49</v>
      </c>
      <c r="P96" s="13">
        <v>6461.52</v>
      </c>
      <c r="Q96" s="13">
        <v>67257.009999999995</v>
      </c>
      <c r="R96" s="13">
        <v>65780.09</v>
      </c>
      <c r="S96" s="13">
        <v>79034.137000000002</v>
      </c>
      <c r="T96" s="13">
        <v>79034.137000000002</v>
      </c>
    </row>
    <row r="97" spans="1:20" hidden="1">
      <c r="A97" s="9" t="str">
        <f>CONCATENATE($A$96,".",B97)</f>
        <v>2.1.4.1</v>
      </c>
      <c r="B97" s="9">
        <f>IF(B96=" ",1,B96+1)</f>
        <v>1</v>
      </c>
      <c r="C97" s="20" t="s">
        <v>146</v>
      </c>
      <c r="D97" s="15" t="s">
        <v>119</v>
      </c>
      <c r="E97" s="15" t="s">
        <v>29</v>
      </c>
      <c r="F97" s="15" t="str">
        <f>IF(Tabla15[[#This Row],[Columna1]]="","actividad","subactividad")</f>
        <v>subactividad</v>
      </c>
      <c r="G97" s="16"/>
      <c r="H97" s="19">
        <f t="shared" si="4"/>
        <v>45968</v>
      </c>
      <c r="I97" s="19">
        <f>IF(Tabla15[[#This Row],[Duracion ideal (dia)]]="",I96,Tabla15[[#This Row],[Inicio ideal]]+Tabla15[[#This Row],[Duracion ideal (dia)]])</f>
        <v>45968</v>
      </c>
      <c r="J97" s="16"/>
      <c r="K97" s="19">
        <f>IF(Tabla15[[#This Row],[Duracion Real (dia)]]="",K96,L96)</f>
        <v>45972</v>
      </c>
      <c r="L97" s="19">
        <f>IF(Tabla15[[#This Row],[Duracion Real (dia)]]="",L96,Tabla15[[#This Row],[Inicio Real]]+Tabla15[[#This Row],[Duracion Real (dia)]])</f>
        <v>45976</v>
      </c>
      <c r="M97" s="16"/>
      <c r="N97" s="19" t="s">
        <v>35</v>
      </c>
      <c r="O97" s="13" t="s">
        <v>35</v>
      </c>
      <c r="P97" s="13" t="s">
        <v>35</v>
      </c>
      <c r="Q97" s="13" t="s">
        <v>35</v>
      </c>
      <c r="R97" s="13" t="s">
        <v>35</v>
      </c>
      <c r="S97" s="13" t="s">
        <v>35</v>
      </c>
      <c r="T97" s="13" t="s">
        <v>35</v>
      </c>
    </row>
    <row r="98" spans="1:20" hidden="1">
      <c r="A98" s="9" t="str">
        <f>CONCATENATE($A$96,".",B98)</f>
        <v>2.1.4.2</v>
      </c>
      <c r="B98" s="9">
        <f>IF(B97=" ",1,B97+1)</f>
        <v>2</v>
      </c>
      <c r="C98" s="10" t="s">
        <v>147</v>
      </c>
      <c r="D98" s="11" t="s">
        <v>119</v>
      </c>
      <c r="E98" s="11" t="s">
        <v>29</v>
      </c>
      <c r="F98" s="15" t="str">
        <f>IF(Tabla15[[#This Row],[Columna1]]="","actividad","subactividad")</f>
        <v>subactividad</v>
      </c>
      <c r="G98" s="12"/>
      <c r="H98" s="19">
        <f t="shared" si="4"/>
        <v>45968</v>
      </c>
      <c r="I98" s="19">
        <f>IF(Tabla15[[#This Row],[Duracion ideal (dia)]]="",I97,Tabla15[[#This Row],[Inicio ideal]]+Tabla15[[#This Row],[Duracion ideal (dia)]])</f>
        <v>45968</v>
      </c>
      <c r="J98" s="12"/>
      <c r="K98" s="19">
        <f>IF(Tabla15[[#This Row],[Duracion Real (dia)]]="",K97,L97)</f>
        <v>45972</v>
      </c>
      <c r="L98" s="19">
        <f>IF(Tabla15[[#This Row],[Duracion Real (dia)]]="",L97,Tabla15[[#This Row],[Inicio Real]]+Tabla15[[#This Row],[Duracion Real (dia)]])</f>
        <v>45976</v>
      </c>
      <c r="M98" s="12"/>
      <c r="N98" s="19" t="s">
        <v>35</v>
      </c>
      <c r="O98" s="13" t="s">
        <v>35</v>
      </c>
      <c r="P98" s="13" t="s">
        <v>35</v>
      </c>
      <c r="Q98" s="13" t="s">
        <v>35</v>
      </c>
      <c r="R98" s="13" t="s">
        <v>35</v>
      </c>
      <c r="S98" s="13" t="s">
        <v>35</v>
      </c>
      <c r="T98" s="13" t="s">
        <v>35</v>
      </c>
    </row>
    <row r="99" spans="1:20" hidden="1">
      <c r="A99" s="9" t="str">
        <f>CONCATENATE($A$96,".",B99)</f>
        <v>2.1.4.3</v>
      </c>
      <c r="B99" s="9">
        <f>IF(B98=" ",1,B98+1)</f>
        <v>3</v>
      </c>
      <c r="C99" s="20" t="s">
        <v>148</v>
      </c>
      <c r="D99" s="15" t="s">
        <v>119</v>
      </c>
      <c r="E99" s="15" t="s">
        <v>29</v>
      </c>
      <c r="F99" s="15" t="str">
        <f>IF(Tabla15[[#This Row],[Columna1]]="","actividad","subactividad")</f>
        <v>subactividad</v>
      </c>
      <c r="G99" s="16"/>
      <c r="H99" s="19">
        <f t="shared" si="4"/>
        <v>45968</v>
      </c>
      <c r="I99" s="19">
        <f>IF(Tabla15[[#This Row],[Duracion ideal (dia)]]="",I98,Tabla15[[#This Row],[Inicio ideal]]+Tabla15[[#This Row],[Duracion ideal (dia)]])</f>
        <v>45968</v>
      </c>
      <c r="J99" s="16"/>
      <c r="K99" s="19">
        <f>IF(Tabla15[[#This Row],[Duracion Real (dia)]]="",K98,L98)</f>
        <v>45972</v>
      </c>
      <c r="L99" s="19">
        <f>IF(Tabla15[[#This Row],[Duracion Real (dia)]]="",L98,Tabla15[[#This Row],[Inicio Real]]+Tabla15[[#This Row],[Duracion Real (dia)]])</f>
        <v>45976</v>
      </c>
      <c r="M99" s="16"/>
      <c r="N99" s="19" t="s">
        <v>35</v>
      </c>
      <c r="O99" s="13" t="s">
        <v>35</v>
      </c>
      <c r="P99" s="13" t="s">
        <v>35</v>
      </c>
      <c r="Q99" s="13" t="s">
        <v>35</v>
      </c>
      <c r="R99" s="13" t="s">
        <v>35</v>
      </c>
      <c r="S99" s="13" t="s">
        <v>35</v>
      </c>
      <c r="T99" s="13" t="s">
        <v>35</v>
      </c>
    </row>
    <row r="100" spans="1:20" hidden="1">
      <c r="A100" s="9" t="str">
        <f>CONCATENATE($A$96,".",B100)</f>
        <v>2.1.4.4</v>
      </c>
      <c r="B100" s="9">
        <f>IF(B99=" ",1,B99+1)</f>
        <v>4</v>
      </c>
      <c r="C100" s="10" t="s">
        <v>149</v>
      </c>
      <c r="D100" s="11" t="s">
        <v>119</v>
      </c>
      <c r="E100" s="11" t="s">
        <v>29</v>
      </c>
      <c r="F100" s="15" t="str">
        <f>IF(Tabla15[[#This Row],[Columna1]]="","actividad","subactividad")</f>
        <v>subactividad</v>
      </c>
      <c r="G100" s="12"/>
      <c r="H100" s="19">
        <f t="shared" si="4"/>
        <v>45968</v>
      </c>
      <c r="I100" s="19">
        <f>IF(Tabla15[[#This Row],[Duracion ideal (dia)]]="",I99,Tabla15[[#This Row],[Inicio ideal]]+Tabla15[[#This Row],[Duracion ideal (dia)]])</f>
        <v>45968</v>
      </c>
      <c r="J100" s="12"/>
      <c r="K100" s="19">
        <f>IF(Tabla15[[#This Row],[Duracion Real (dia)]]="",K99,L99)</f>
        <v>45972</v>
      </c>
      <c r="L100" s="19">
        <f>IF(Tabla15[[#This Row],[Duracion Real (dia)]]="",L99,Tabla15[[#This Row],[Inicio Real]]+Tabla15[[#This Row],[Duracion Real (dia)]])</f>
        <v>45976</v>
      </c>
      <c r="M100" s="12"/>
      <c r="N100" s="19" t="s">
        <v>35</v>
      </c>
      <c r="O100" s="13" t="s">
        <v>35</v>
      </c>
      <c r="P100" s="13" t="s">
        <v>35</v>
      </c>
      <c r="Q100" s="13" t="s">
        <v>35</v>
      </c>
      <c r="R100" s="13" t="s">
        <v>35</v>
      </c>
      <c r="S100" s="13" t="s">
        <v>35</v>
      </c>
      <c r="T100" s="13" t="s">
        <v>35</v>
      </c>
    </row>
    <row r="101" spans="1:20" hidden="1">
      <c r="A101" s="9" t="str">
        <f>CONCATENATE($A$96,".",B101)</f>
        <v>2.1.4.5</v>
      </c>
      <c r="B101" s="9">
        <f>IF(B100=" ",1,B100+1)</f>
        <v>5</v>
      </c>
      <c r="C101" s="20" t="s">
        <v>150</v>
      </c>
      <c r="D101" s="15" t="s">
        <v>119</v>
      </c>
      <c r="E101" s="15" t="s">
        <v>29</v>
      </c>
      <c r="F101" s="15" t="str">
        <f>IF(Tabla15[[#This Row],[Columna1]]="","actividad","subactividad")</f>
        <v>subactividad</v>
      </c>
      <c r="G101" s="16"/>
      <c r="H101" s="19">
        <f t="shared" si="4"/>
        <v>45968</v>
      </c>
      <c r="I101" s="19">
        <f>IF(Tabla15[[#This Row],[Duracion ideal (dia)]]="",I100,Tabla15[[#This Row],[Inicio ideal]]+Tabla15[[#This Row],[Duracion ideal (dia)]])</f>
        <v>45968</v>
      </c>
      <c r="J101" s="16"/>
      <c r="K101" s="19">
        <f>IF(Tabla15[[#This Row],[Duracion Real (dia)]]="",K100,L100)</f>
        <v>45972</v>
      </c>
      <c r="L101" s="19">
        <f>IF(Tabla15[[#This Row],[Duracion Real (dia)]]="",L100,Tabla15[[#This Row],[Inicio Real]]+Tabla15[[#This Row],[Duracion Real (dia)]])</f>
        <v>45976</v>
      </c>
      <c r="M101" s="16"/>
      <c r="N101" s="19" t="s">
        <v>35</v>
      </c>
      <c r="O101" s="13" t="s">
        <v>35</v>
      </c>
      <c r="P101" s="13" t="s">
        <v>35</v>
      </c>
      <c r="Q101" s="13" t="s">
        <v>35</v>
      </c>
      <c r="R101" s="13" t="s">
        <v>35</v>
      </c>
      <c r="S101" s="13" t="s">
        <v>35</v>
      </c>
      <c r="T101" s="13" t="s">
        <v>35</v>
      </c>
    </row>
    <row r="102" spans="1:20">
      <c r="A102" s="9" t="s">
        <v>151</v>
      </c>
      <c r="B102" s="9"/>
      <c r="C102" s="22" t="s">
        <v>152</v>
      </c>
      <c r="D102" s="11" t="s">
        <v>119</v>
      </c>
      <c r="E102" s="11" t="s">
        <v>29</v>
      </c>
      <c r="F102" s="15" t="str">
        <f>IF(Tabla15[[#This Row],[Columna1]]="","actividad","subactividad")</f>
        <v>actividad</v>
      </c>
      <c r="G102" s="12" t="s">
        <v>32</v>
      </c>
      <c r="H102" s="19">
        <f t="shared" si="4"/>
        <v>45968</v>
      </c>
      <c r="I102" s="19">
        <f>IF(Tabla15[[#This Row],[Duracion ideal (dia)]]="",I101,Tabla15[[#This Row],[Inicio ideal]]+Tabla15[[#This Row],[Duracion ideal (dia)]])</f>
        <v>45975</v>
      </c>
      <c r="J102" s="12">
        <v>7</v>
      </c>
      <c r="K102" s="19">
        <f>IF(Tabla15[[#This Row],[Duracion Real (dia)]]="",K101,L101)</f>
        <v>45976</v>
      </c>
      <c r="L102" s="19">
        <f>IF(Tabla15[[#This Row],[Duracion Real (dia)]]="",L101,Tabla15[[#This Row],[Inicio Real]]+Tabla15[[#This Row],[Duracion Real (dia)]])</f>
        <v>45983</v>
      </c>
      <c r="M102" s="12">
        <v>7</v>
      </c>
      <c r="N102" s="19" t="s">
        <v>69</v>
      </c>
      <c r="O102" s="13">
        <v>60795.49</v>
      </c>
      <c r="P102" s="13">
        <v>12916.050000000001</v>
      </c>
      <c r="Q102" s="13">
        <v>73711.539999999994</v>
      </c>
      <c r="R102" s="13">
        <v>72103.149999999994</v>
      </c>
      <c r="S102" s="13">
        <v>79034.137000000002</v>
      </c>
      <c r="T102" s="13">
        <v>79034.137000000002</v>
      </c>
    </row>
    <row r="103" spans="1:20" hidden="1">
      <c r="A103" s="9" t="str">
        <f>CONCATENATE($A$102,".",B103)</f>
        <v>2.1.5.1</v>
      </c>
      <c r="B103" s="9">
        <f>IF(B102=" ",1,B102+1)</f>
        <v>1</v>
      </c>
      <c r="C103" s="20" t="s">
        <v>153</v>
      </c>
      <c r="D103" s="15" t="s">
        <v>119</v>
      </c>
      <c r="E103" s="15" t="s">
        <v>29</v>
      </c>
      <c r="F103" s="15" t="str">
        <f>IF(Tabla15[[#This Row],[Columna1]]="","actividad","subactividad")</f>
        <v>subactividad</v>
      </c>
      <c r="G103" s="16"/>
      <c r="H103" s="19">
        <f t="shared" si="4"/>
        <v>45975</v>
      </c>
      <c r="I103" s="19">
        <f>IF(Tabla15[[#This Row],[Duracion ideal (dia)]]="",I102,Tabla15[[#This Row],[Inicio ideal]]+Tabla15[[#This Row],[Duracion ideal (dia)]])</f>
        <v>45975</v>
      </c>
      <c r="J103" s="16"/>
      <c r="K103" s="19">
        <f>IF(Tabla15[[#This Row],[Duracion Real (dia)]]="",K102,L102)</f>
        <v>45976</v>
      </c>
      <c r="L103" s="19">
        <f>IF(Tabla15[[#This Row],[Duracion Real (dia)]]="",L102,Tabla15[[#This Row],[Inicio Real]]+Tabla15[[#This Row],[Duracion Real (dia)]])</f>
        <v>45983</v>
      </c>
      <c r="M103" s="16"/>
      <c r="N103" s="19" t="s">
        <v>35</v>
      </c>
      <c r="O103" s="13" t="s">
        <v>35</v>
      </c>
      <c r="P103" s="13" t="s">
        <v>35</v>
      </c>
      <c r="Q103" s="13" t="s">
        <v>35</v>
      </c>
      <c r="R103" s="13" t="s">
        <v>35</v>
      </c>
      <c r="S103" s="13" t="s">
        <v>35</v>
      </c>
      <c r="T103" s="13" t="s">
        <v>35</v>
      </c>
    </row>
    <row r="104" spans="1:20" hidden="1">
      <c r="A104" s="9" t="str">
        <f>CONCATENATE($A$102,".",B104)</f>
        <v>2.1.5.2</v>
      </c>
      <c r="B104" s="9">
        <f>IF(B103=" ",1,B103+1)</f>
        <v>2</v>
      </c>
      <c r="C104" s="10" t="s">
        <v>154</v>
      </c>
      <c r="D104" s="11" t="s">
        <v>119</v>
      </c>
      <c r="E104" s="11" t="s">
        <v>29</v>
      </c>
      <c r="F104" s="15" t="str">
        <f>IF(Tabla15[[#This Row],[Columna1]]="","actividad","subactividad")</f>
        <v>subactividad</v>
      </c>
      <c r="G104" s="12"/>
      <c r="H104" s="19">
        <f t="shared" si="4"/>
        <v>45975</v>
      </c>
      <c r="I104" s="19">
        <f>IF(Tabla15[[#This Row],[Duracion ideal (dia)]]="",I103,Tabla15[[#This Row],[Inicio ideal]]+Tabla15[[#This Row],[Duracion ideal (dia)]])</f>
        <v>45975</v>
      </c>
      <c r="J104" s="12"/>
      <c r="K104" s="19">
        <f>IF(Tabla15[[#This Row],[Duracion Real (dia)]]="",K103,L103)</f>
        <v>45976</v>
      </c>
      <c r="L104" s="19">
        <f>IF(Tabla15[[#This Row],[Duracion Real (dia)]]="",L103,Tabla15[[#This Row],[Inicio Real]]+Tabla15[[#This Row],[Duracion Real (dia)]])</f>
        <v>45983</v>
      </c>
      <c r="M104" s="12"/>
      <c r="N104" s="19" t="s">
        <v>35</v>
      </c>
      <c r="O104" s="13" t="s">
        <v>35</v>
      </c>
      <c r="P104" s="13" t="s">
        <v>35</v>
      </c>
      <c r="Q104" s="13" t="s">
        <v>35</v>
      </c>
      <c r="R104" s="13" t="s">
        <v>35</v>
      </c>
      <c r="S104" s="13" t="s">
        <v>35</v>
      </c>
      <c r="T104" s="13" t="s">
        <v>35</v>
      </c>
    </row>
    <row r="105" spans="1:20" hidden="1">
      <c r="A105" s="9" t="str">
        <f>CONCATENATE($A$102,".",B105)</f>
        <v>2.1.5.3</v>
      </c>
      <c r="B105" s="9">
        <f>IF(B104=" ",1,B104+1)</f>
        <v>3</v>
      </c>
      <c r="C105" s="20" t="s">
        <v>155</v>
      </c>
      <c r="D105" s="15" t="s">
        <v>119</v>
      </c>
      <c r="E105" s="15" t="s">
        <v>29</v>
      </c>
      <c r="F105" s="15" t="str">
        <f>IF(Tabla15[[#This Row],[Columna1]]="","actividad","subactividad")</f>
        <v>subactividad</v>
      </c>
      <c r="G105" s="16"/>
      <c r="H105" s="19">
        <f t="shared" si="4"/>
        <v>45975</v>
      </c>
      <c r="I105" s="19">
        <f>IF(Tabla15[[#This Row],[Duracion ideal (dia)]]="",I104,Tabla15[[#This Row],[Inicio ideal]]+Tabla15[[#This Row],[Duracion ideal (dia)]])</f>
        <v>45975</v>
      </c>
      <c r="J105" s="16"/>
      <c r="K105" s="19">
        <f>IF(Tabla15[[#This Row],[Duracion Real (dia)]]="",K104,L104)</f>
        <v>45976</v>
      </c>
      <c r="L105" s="19">
        <f>IF(Tabla15[[#This Row],[Duracion Real (dia)]]="",L104,Tabla15[[#This Row],[Inicio Real]]+Tabla15[[#This Row],[Duracion Real (dia)]])</f>
        <v>45983</v>
      </c>
      <c r="M105" s="16"/>
      <c r="N105" s="19" t="s">
        <v>35</v>
      </c>
      <c r="O105" s="13" t="s">
        <v>35</v>
      </c>
      <c r="P105" s="13" t="s">
        <v>35</v>
      </c>
      <c r="Q105" s="13" t="s">
        <v>35</v>
      </c>
      <c r="R105" s="13" t="s">
        <v>35</v>
      </c>
      <c r="S105" s="13" t="s">
        <v>35</v>
      </c>
      <c r="T105" s="13" t="s">
        <v>35</v>
      </c>
    </row>
    <row r="106" spans="1:20" hidden="1">
      <c r="A106" s="9" t="str">
        <f>CONCATENATE($A$102,".",B106)</f>
        <v>2.1.5.4</v>
      </c>
      <c r="B106" s="9">
        <f>IF(B105=" ",1,B105+1)</f>
        <v>4</v>
      </c>
      <c r="C106" s="10" t="s">
        <v>156</v>
      </c>
      <c r="D106" s="11" t="s">
        <v>119</v>
      </c>
      <c r="E106" s="11" t="s">
        <v>29</v>
      </c>
      <c r="F106" s="15" t="str">
        <f>IF(Tabla15[[#This Row],[Columna1]]="","actividad","subactividad")</f>
        <v>subactividad</v>
      </c>
      <c r="G106" s="12"/>
      <c r="H106" s="19">
        <f t="shared" ref="H106:H169" si="8">I105</f>
        <v>45975</v>
      </c>
      <c r="I106" s="19">
        <f>IF(Tabla15[[#This Row],[Duracion ideal (dia)]]="",I105,Tabla15[[#This Row],[Inicio ideal]]+Tabla15[[#This Row],[Duracion ideal (dia)]])</f>
        <v>45975</v>
      </c>
      <c r="J106" s="12"/>
      <c r="K106" s="19">
        <f>IF(Tabla15[[#This Row],[Duracion Real (dia)]]="",K105,L105)</f>
        <v>45976</v>
      </c>
      <c r="L106" s="19">
        <f>IF(Tabla15[[#This Row],[Duracion Real (dia)]]="",L105,Tabla15[[#This Row],[Inicio Real]]+Tabla15[[#This Row],[Duracion Real (dia)]])</f>
        <v>45983</v>
      </c>
      <c r="M106" s="12"/>
      <c r="N106" s="19" t="s">
        <v>35</v>
      </c>
      <c r="O106" s="13" t="s">
        <v>35</v>
      </c>
      <c r="P106" s="13" t="s">
        <v>35</v>
      </c>
      <c r="Q106" s="13" t="s">
        <v>35</v>
      </c>
      <c r="R106" s="13" t="s">
        <v>35</v>
      </c>
      <c r="S106" s="13" t="s">
        <v>35</v>
      </c>
      <c r="T106" s="13" t="s">
        <v>35</v>
      </c>
    </row>
    <row r="107" spans="1:20" hidden="1">
      <c r="A107" s="9" t="str">
        <f>CONCATENATE($A$102,".",B107)</f>
        <v>2.1.5.5</v>
      </c>
      <c r="B107" s="9">
        <f>IF(B106=" ",1,B106+1)</f>
        <v>5</v>
      </c>
      <c r="C107" s="20" t="s">
        <v>157</v>
      </c>
      <c r="D107" s="15" t="s">
        <v>119</v>
      </c>
      <c r="E107" s="15" t="s">
        <v>29</v>
      </c>
      <c r="F107" s="15" t="str">
        <f>IF(Tabla15[[#This Row],[Columna1]]="","actividad","subactividad")</f>
        <v>subactividad</v>
      </c>
      <c r="G107" s="16"/>
      <c r="H107" s="19">
        <f t="shared" si="8"/>
        <v>45975</v>
      </c>
      <c r="I107" s="19">
        <f>IF(Tabla15[[#This Row],[Duracion ideal (dia)]]="",I106,Tabla15[[#This Row],[Inicio ideal]]+Tabla15[[#This Row],[Duracion ideal (dia)]])</f>
        <v>45975</v>
      </c>
      <c r="J107" s="16"/>
      <c r="K107" s="19">
        <f>IF(Tabla15[[#This Row],[Duracion Real (dia)]]="",K106,L106)</f>
        <v>45976</v>
      </c>
      <c r="L107" s="19">
        <f>IF(Tabla15[[#This Row],[Duracion Real (dia)]]="",L106,Tabla15[[#This Row],[Inicio Real]]+Tabla15[[#This Row],[Duracion Real (dia)]])</f>
        <v>45983</v>
      </c>
      <c r="M107" s="16"/>
      <c r="N107" s="19" t="s">
        <v>35</v>
      </c>
      <c r="O107" s="13" t="s">
        <v>35</v>
      </c>
      <c r="P107" s="13" t="s">
        <v>35</v>
      </c>
      <c r="Q107" s="13" t="s">
        <v>35</v>
      </c>
      <c r="R107" s="13" t="s">
        <v>35</v>
      </c>
      <c r="S107" s="13" t="s">
        <v>35</v>
      </c>
      <c r="T107" s="13" t="s">
        <v>35</v>
      </c>
    </row>
    <row r="108" spans="1:20">
      <c r="A108" s="9" t="s">
        <v>158</v>
      </c>
      <c r="B108" s="9"/>
      <c r="C108" s="22" t="s">
        <v>159</v>
      </c>
      <c r="D108" s="11" t="s">
        <v>119</v>
      </c>
      <c r="E108" s="11" t="s">
        <v>29</v>
      </c>
      <c r="F108" s="15" t="str">
        <f>IF(Tabla15[[#This Row],[Columna1]]="","actividad","subactividad")</f>
        <v>actividad</v>
      </c>
      <c r="G108" s="12" t="s">
        <v>32</v>
      </c>
      <c r="H108" s="19">
        <f t="shared" si="8"/>
        <v>45975</v>
      </c>
      <c r="I108" s="19">
        <f>IF(Tabla15[[#This Row],[Duracion ideal (dia)]]="",I107,Tabla15[[#This Row],[Inicio ideal]]+Tabla15[[#This Row],[Duracion ideal (dia)]])</f>
        <v>45983</v>
      </c>
      <c r="J108" s="12">
        <v>8</v>
      </c>
      <c r="K108" s="19">
        <f>IF(Tabla15[[#This Row],[Duracion Real (dia)]]="",K107,L107)</f>
        <v>45983</v>
      </c>
      <c r="L108" s="19">
        <f>IF(Tabla15[[#This Row],[Duracion Real (dia)]]="",L107,Tabla15[[#This Row],[Inicio Real]]+Tabla15[[#This Row],[Duracion Real (dia)]])</f>
        <v>45991</v>
      </c>
      <c r="M108" s="12">
        <v>8</v>
      </c>
      <c r="N108" s="19" t="s">
        <v>160</v>
      </c>
      <c r="O108" s="13">
        <v>60795.49</v>
      </c>
      <c r="P108" s="13">
        <v>12923.04</v>
      </c>
      <c r="Q108" s="13">
        <v>73718.53</v>
      </c>
      <c r="R108" s="13">
        <v>71872.45</v>
      </c>
      <c r="S108" s="13">
        <v>79034.137000000002</v>
      </c>
      <c r="T108" s="13">
        <v>79034.137000000002</v>
      </c>
    </row>
    <row r="109" spans="1:20" hidden="1">
      <c r="A109" s="9" t="str">
        <f>CONCATENATE($A$108,".",B109)</f>
        <v>2.1.6.1</v>
      </c>
      <c r="B109" s="9">
        <f>IF(B108=" ",1,B108+1)</f>
        <v>1</v>
      </c>
      <c r="C109" s="20" t="s">
        <v>161</v>
      </c>
      <c r="D109" s="15" t="s">
        <v>119</v>
      </c>
      <c r="E109" s="15" t="s">
        <v>29</v>
      </c>
      <c r="F109" s="15" t="str">
        <f>IF(Tabla15[[#This Row],[Columna1]]="","actividad","subactividad")</f>
        <v>subactividad</v>
      </c>
      <c r="G109" s="16"/>
      <c r="H109" s="19">
        <f t="shared" si="8"/>
        <v>45983</v>
      </c>
      <c r="I109" s="19">
        <f>IF(Tabla15[[#This Row],[Duracion ideal (dia)]]="",I108,Tabla15[[#This Row],[Inicio ideal]]+Tabla15[[#This Row],[Duracion ideal (dia)]])</f>
        <v>45983</v>
      </c>
      <c r="J109" s="16"/>
      <c r="K109" s="19">
        <f>IF(Tabla15[[#This Row],[Duracion Real (dia)]]="",K108,L108)</f>
        <v>45983</v>
      </c>
      <c r="L109" s="19">
        <f>IF(Tabla15[[#This Row],[Duracion Real (dia)]]="",L108,Tabla15[[#This Row],[Inicio Real]]+Tabla15[[#This Row],[Duracion Real (dia)]])</f>
        <v>45991</v>
      </c>
      <c r="M109" s="16"/>
      <c r="N109" s="19" t="s">
        <v>35</v>
      </c>
      <c r="O109" s="13" t="s">
        <v>35</v>
      </c>
      <c r="P109" s="13" t="s">
        <v>35</v>
      </c>
      <c r="Q109" s="13" t="s">
        <v>35</v>
      </c>
      <c r="R109" s="13" t="s">
        <v>35</v>
      </c>
      <c r="S109" s="13" t="s">
        <v>35</v>
      </c>
      <c r="T109" s="13" t="s">
        <v>35</v>
      </c>
    </row>
    <row r="110" spans="1:20" hidden="1">
      <c r="A110" s="9" t="str">
        <f>CONCATENATE($A$108,".",B110)</f>
        <v>2.1.6.2</v>
      </c>
      <c r="B110" s="9">
        <f>IF(B109=" ",1,B109+1)</f>
        <v>2</v>
      </c>
      <c r="C110" s="10" t="s">
        <v>162</v>
      </c>
      <c r="D110" s="11" t="s">
        <v>119</v>
      </c>
      <c r="E110" s="11" t="s">
        <v>29</v>
      </c>
      <c r="F110" s="15" t="str">
        <f>IF(Tabla15[[#This Row],[Columna1]]="","actividad","subactividad")</f>
        <v>subactividad</v>
      </c>
      <c r="G110" s="12"/>
      <c r="H110" s="19">
        <f t="shared" si="8"/>
        <v>45983</v>
      </c>
      <c r="I110" s="19">
        <f>IF(Tabla15[[#This Row],[Duracion ideal (dia)]]="",I109,Tabla15[[#This Row],[Inicio ideal]]+Tabla15[[#This Row],[Duracion ideal (dia)]])</f>
        <v>45983</v>
      </c>
      <c r="J110" s="12"/>
      <c r="K110" s="19">
        <f>IF(Tabla15[[#This Row],[Duracion Real (dia)]]="",K109,L109)</f>
        <v>45983</v>
      </c>
      <c r="L110" s="19">
        <f>IF(Tabla15[[#This Row],[Duracion Real (dia)]]="",L109,Tabla15[[#This Row],[Inicio Real]]+Tabla15[[#This Row],[Duracion Real (dia)]])</f>
        <v>45991</v>
      </c>
      <c r="M110" s="12"/>
      <c r="N110" s="19" t="s">
        <v>35</v>
      </c>
      <c r="O110" s="13" t="s">
        <v>35</v>
      </c>
      <c r="P110" s="13" t="s">
        <v>35</v>
      </c>
      <c r="Q110" s="13" t="s">
        <v>35</v>
      </c>
      <c r="R110" s="13" t="s">
        <v>35</v>
      </c>
      <c r="S110" s="13" t="s">
        <v>35</v>
      </c>
      <c r="T110" s="13" t="s">
        <v>35</v>
      </c>
    </row>
    <row r="111" spans="1:20" hidden="1">
      <c r="A111" s="9" t="str">
        <f>CONCATENATE($A$108,".",B111)</f>
        <v>2.1.6.3</v>
      </c>
      <c r="B111" s="9">
        <f>IF(B110=" ",1,B110+1)</f>
        <v>3</v>
      </c>
      <c r="C111" s="20" t="s">
        <v>163</v>
      </c>
      <c r="D111" s="15" t="s">
        <v>119</v>
      </c>
      <c r="E111" s="15" t="s">
        <v>29</v>
      </c>
      <c r="F111" s="15" t="str">
        <f>IF(Tabla15[[#This Row],[Columna1]]="","actividad","subactividad")</f>
        <v>subactividad</v>
      </c>
      <c r="G111" s="16"/>
      <c r="H111" s="19">
        <f t="shared" si="8"/>
        <v>45983</v>
      </c>
      <c r="I111" s="19">
        <f>IF(Tabla15[[#This Row],[Duracion ideal (dia)]]="",I110,Tabla15[[#This Row],[Inicio ideal]]+Tabla15[[#This Row],[Duracion ideal (dia)]])</f>
        <v>45983</v>
      </c>
      <c r="J111" s="16"/>
      <c r="K111" s="19">
        <f>IF(Tabla15[[#This Row],[Duracion Real (dia)]]="",K110,L110)</f>
        <v>45983</v>
      </c>
      <c r="L111" s="19">
        <f>IF(Tabla15[[#This Row],[Duracion Real (dia)]]="",L110,Tabla15[[#This Row],[Inicio Real]]+Tabla15[[#This Row],[Duracion Real (dia)]])</f>
        <v>45991</v>
      </c>
      <c r="M111" s="16"/>
      <c r="N111" s="19" t="s">
        <v>35</v>
      </c>
      <c r="O111" s="13" t="s">
        <v>35</v>
      </c>
      <c r="P111" s="13" t="s">
        <v>35</v>
      </c>
      <c r="Q111" s="13" t="s">
        <v>35</v>
      </c>
      <c r="R111" s="13" t="s">
        <v>35</v>
      </c>
      <c r="S111" s="13" t="s">
        <v>35</v>
      </c>
      <c r="T111" s="13" t="s">
        <v>35</v>
      </c>
    </row>
    <row r="112" spans="1:20" hidden="1">
      <c r="A112" s="9" t="str">
        <f>CONCATENATE($A$108,".",B112)</f>
        <v>2.1.6.4</v>
      </c>
      <c r="B112" s="9">
        <f>IF(B111=" ",1,B111+1)</f>
        <v>4</v>
      </c>
      <c r="C112" s="10" t="s">
        <v>164</v>
      </c>
      <c r="D112" s="11" t="s">
        <v>119</v>
      </c>
      <c r="E112" s="11" t="s">
        <v>29</v>
      </c>
      <c r="F112" s="15" t="str">
        <f>IF(Tabla15[[#This Row],[Columna1]]="","actividad","subactividad")</f>
        <v>subactividad</v>
      </c>
      <c r="G112" s="12"/>
      <c r="H112" s="19">
        <f t="shared" si="8"/>
        <v>45983</v>
      </c>
      <c r="I112" s="19">
        <f>IF(Tabla15[[#This Row],[Duracion ideal (dia)]]="",I111,Tabla15[[#This Row],[Inicio ideal]]+Tabla15[[#This Row],[Duracion ideal (dia)]])</f>
        <v>45983</v>
      </c>
      <c r="J112" s="12"/>
      <c r="K112" s="19">
        <f>IF(Tabla15[[#This Row],[Duracion Real (dia)]]="",K111,L111)</f>
        <v>45983</v>
      </c>
      <c r="L112" s="19">
        <f>IF(Tabla15[[#This Row],[Duracion Real (dia)]]="",L111,Tabla15[[#This Row],[Inicio Real]]+Tabla15[[#This Row],[Duracion Real (dia)]])</f>
        <v>45991</v>
      </c>
      <c r="M112" s="12"/>
      <c r="N112" s="19" t="s">
        <v>35</v>
      </c>
      <c r="O112" s="13" t="s">
        <v>35</v>
      </c>
      <c r="P112" s="13" t="s">
        <v>35</v>
      </c>
      <c r="Q112" s="13" t="s">
        <v>35</v>
      </c>
      <c r="R112" s="13" t="s">
        <v>35</v>
      </c>
      <c r="S112" s="13" t="s">
        <v>35</v>
      </c>
      <c r="T112" s="13" t="s">
        <v>35</v>
      </c>
    </row>
    <row r="113" spans="1:20" hidden="1">
      <c r="A113" s="9" t="str">
        <f>CONCATENATE($A$108,".",B113)</f>
        <v>2.1.6.5</v>
      </c>
      <c r="B113" s="9">
        <f>IF(B112=" ",1,B112+1)</f>
        <v>5</v>
      </c>
      <c r="C113" s="20" t="s">
        <v>165</v>
      </c>
      <c r="D113" s="15" t="s">
        <v>119</v>
      </c>
      <c r="E113" s="15" t="s">
        <v>29</v>
      </c>
      <c r="F113" s="15" t="str">
        <f>IF(Tabla15[[#This Row],[Columna1]]="","actividad","subactividad")</f>
        <v>subactividad</v>
      </c>
      <c r="G113" s="16"/>
      <c r="H113" s="19">
        <f t="shared" si="8"/>
        <v>45983</v>
      </c>
      <c r="I113" s="19">
        <f>IF(Tabla15[[#This Row],[Duracion ideal (dia)]]="",I112,Tabla15[[#This Row],[Inicio ideal]]+Tabla15[[#This Row],[Duracion ideal (dia)]])</f>
        <v>45983</v>
      </c>
      <c r="J113" s="16"/>
      <c r="K113" s="19">
        <f>IF(Tabla15[[#This Row],[Duracion Real (dia)]]="",K112,L112)</f>
        <v>45983</v>
      </c>
      <c r="L113" s="19">
        <f>IF(Tabla15[[#This Row],[Duracion Real (dia)]]="",L112,Tabla15[[#This Row],[Inicio Real]]+Tabla15[[#This Row],[Duracion Real (dia)]])</f>
        <v>45991</v>
      </c>
      <c r="M113" s="16"/>
      <c r="N113" s="19" t="s">
        <v>35</v>
      </c>
      <c r="O113" s="13" t="s">
        <v>35</v>
      </c>
      <c r="P113" s="13" t="s">
        <v>35</v>
      </c>
      <c r="Q113" s="13" t="s">
        <v>35</v>
      </c>
      <c r="R113" s="13" t="s">
        <v>35</v>
      </c>
      <c r="S113" s="13" t="s">
        <v>35</v>
      </c>
      <c r="T113" s="13" t="s">
        <v>35</v>
      </c>
    </row>
    <row r="114" spans="1:20">
      <c r="A114" s="9" t="s">
        <v>166</v>
      </c>
      <c r="B114" s="9"/>
      <c r="C114" s="22" t="s">
        <v>167</v>
      </c>
      <c r="D114" s="11" t="s">
        <v>119</v>
      </c>
      <c r="E114" s="11" t="s">
        <v>29</v>
      </c>
      <c r="F114" s="15" t="str">
        <f>IF(Tabla15[[#This Row],[Columna1]]="","actividad","subactividad")</f>
        <v>actividad</v>
      </c>
      <c r="G114" s="12" t="s">
        <v>32</v>
      </c>
      <c r="H114" s="19">
        <f t="shared" si="8"/>
        <v>45983</v>
      </c>
      <c r="I114" s="19">
        <f>IF(Tabla15[[#This Row],[Duracion ideal (dia)]]="",I113,Tabla15[[#This Row],[Inicio ideal]]+Tabla15[[#This Row],[Duracion ideal (dia)]])</f>
        <v>45988</v>
      </c>
      <c r="J114" s="12">
        <v>5</v>
      </c>
      <c r="K114" s="19">
        <f>IF(Tabla15[[#This Row],[Duracion Real (dia)]]="",K113,L113)</f>
        <v>45991</v>
      </c>
      <c r="L114" s="19">
        <f>IF(Tabla15[[#This Row],[Duracion Real (dia)]]="",L113,Tabla15[[#This Row],[Inicio Real]]+Tabla15[[#This Row],[Duracion Real (dia)]])</f>
        <v>45997</v>
      </c>
      <c r="M114" s="12">
        <v>6</v>
      </c>
      <c r="N114" s="19" t="s">
        <v>60</v>
      </c>
      <c r="O114" s="13">
        <v>60795.49</v>
      </c>
      <c r="P114" s="13">
        <v>5769.25</v>
      </c>
      <c r="Q114" s="13">
        <v>66564.739999999991</v>
      </c>
      <c r="R114" s="13">
        <v>70021.239999999991</v>
      </c>
      <c r="S114" s="13">
        <v>79034.137000000002</v>
      </c>
      <c r="T114" s="13">
        <v>79034.137000000002</v>
      </c>
    </row>
    <row r="115" spans="1:20" hidden="1">
      <c r="A115" s="9" t="str">
        <f>CONCATENATE($A$114,".",B115)</f>
        <v>2.1.7.1</v>
      </c>
      <c r="B115" s="9">
        <f>IF(B114=" ",1,B114+1)</f>
        <v>1</v>
      </c>
      <c r="C115" s="20" t="s">
        <v>168</v>
      </c>
      <c r="D115" s="15" t="s">
        <v>119</v>
      </c>
      <c r="E115" s="15" t="s">
        <v>29</v>
      </c>
      <c r="F115" s="15" t="str">
        <f>IF(Tabla15[[#This Row],[Columna1]]="","actividad","subactividad")</f>
        <v>subactividad</v>
      </c>
      <c r="G115" s="16"/>
      <c r="H115" s="19">
        <f t="shared" si="8"/>
        <v>45988</v>
      </c>
      <c r="I115" s="19">
        <f>IF(Tabla15[[#This Row],[Duracion ideal (dia)]]="",I114,Tabla15[[#This Row],[Inicio ideal]]+Tabla15[[#This Row],[Duracion ideal (dia)]])</f>
        <v>45988</v>
      </c>
      <c r="J115" s="16"/>
      <c r="K115" s="19">
        <f>IF(Tabla15[[#This Row],[Duracion Real (dia)]]="",K114,L114)</f>
        <v>45991</v>
      </c>
      <c r="L115" s="19">
        <f>IF(Tabla15[[#This Row],[Duracion Real (dia)]]="",L114,Tabla15[[#This Row],[Inicio Real]]+Tabla15[[#This Row],[Duracion Real (dia)]])</f>
        <v>45997</v>
      </c>
      <c r="M115" s="16"/>
      <c r="N115" s="19" t="s">
        <v>35</v>
      </c>
      <c r="O115" s="13" t="s">
        <v>35</v>
      </c>
      <c r="P115" s="13" t="s">
        <v>35</v>
      </c>
      <c r="Q115" s="13" t="s">
        <v>35</v>
      </c>
      <c r="R115" s="13" t="s">
        <v>35</v>
      </c>
      <c r="S115" s="13" t="s">
        <v>35</v>
      </c>
      <c r="T115" s="13" t="s">
        <v>35</v>
      </c>
    </row>
    <row r="116" spans="1:20" hidden="1">
      <c r="A116" s="9" t="str">
        <f>CONCATENATE($A$114,".",B116)</f>
        <v>2.1.7.2</v>
      </c>
      <c r="B116" s="9">
        <f>IF(B115=" ",1,B115+1)</f>
        <v>2</v>
      </c>
      <c r="C116" s="10" t="s">
        <v>169</v>
      </c>
      <c r="D116" s="11" t="s">
        <v>119</v>
      </c>
      <c r="E116" s="11" t="s">
        <v>29</v>
      </c>
      <c r="F116" s="15" t="str">
        <f>IF(Tabla15[[#This Row],[Columna1]]="","actividad","subactividad")</f>
        <v>subactividad</v>
      </c>
      <c r="G116" s="12"/>
      <c r="H116" s="19">
        <f t="shared" si="8"/>
        <v>45988</v>
      </c>
      <c r="I116" s="19">
        <f>IF(Tabla15[[#This Row],[Duracion ideal (dia)]]="",I115,Tabla15[[#This Row],[Inicio ideal]]+Tabla15[[#This Row],[Duracion ideal (dia)]])</f>
        <v>45988</v>
      </c>
      <c r="J116" s="12"/>
      <c r="K116" s="19">
        <f>IF(Tabla15[[#This Row],[Duracion Real (dia)]]="",K115,L115)</f>
        <v>45991</v>
      </c>
      <c r="L116" s="19">
        <f>IF(Tabla15[[#This Row],[Duracion Real (dia)]]="",L115,Tabla15[[#This Row],[Inicio Real]]+Tabla15[[#This Row],[Duracion Real (dia)]])</f>
        <v>45997</v>
      </c>
      <c r="M116" s="12"/>
      <c r="N116" s="19" t="s">
        <v>35</v>
      </c>
      <c r="O116" s="13" t="s">
        <v>35</v>
      </c>
      <c r="P116" s="13" t="s">
        <v>35</v>
      </c>
      <c r="Q116" s="13" t="s">
        <v>35</v>
      </c>
      <c r="R116" s="13" t="s">
        <v>35</v>
      </c>
      <c r="S116" s="13" t="s">
        <v>35</v>
      </c>
      <c r="T116" s="13" t="s">
        <v>35</v>
      </c>
    </row>
    <row r="117" spans="1:20" hidden="1">
      <c r="A117" s="9" t="str">
        <f>CONCATENATE($A$114,".",B117)</f>
        <v>2.1.7.3</v>
      </c>
      <c r="B117" s="9">
        <f>IF(B116=" ",1,B116+1)</f>
        <v>3</v>
      </c>
      <c r="C117" s="20" t="s">
        <v>170</v>
      </c>
      <c r="D117" s="15" t="s">
        <v>119</v>
      </c>
      <c r="E117" s="15" t="s">
        <v>29</v>
      </c>
      <c r="F117" s="15" t="str">
        <f>IF(Tabla15[[#This Row],[Columna1]]="","actividad","subactividad")</f>
        <v>subactividad</v>
      </c>
      <c r="G117" s="16"/>
      <c r="H117" s="19">
        <f t="shared" si="8"/>
        <v>45988</v>
      </c>
      <c r="I117" s="19">
        <f>IF(Tabla15[[#This Row],[Duracion ideal (dia)]]="",I116,Tabla15[[#This Row],[Inicio ideal]]+Tabla15[[#This Row],[Duracion ideal (dia)]])</f>
        <v>45988</v>
      </c>
      <c r="J117" s="16"/>
      <c r="K117" s="19">
        <f>IF(Tabla15[[#This Row],[Duracion Real (dia)]]="",K116,L116)</f>
        <v>45991</v>
      </c>
      <c r="L117" s="19">
        <f>IF(Tabla15[[#This Row],[Duracion Real (dia)]]="",L116,Tabla15[[#This Row],[Inicio Real]]+Tabla15[[#This Row],[Duracion Real (dia)]])</f>
        <v>45997</v>
      </c>
      <c r="M117" s="16"/>
      <c r="N117" s="19" t="s">
        <v>35</v>
      </c>
      <c r="O117" s="13" t="s">
        <v>35</v>
      </c>
      <c r="P117" s="13" t="s">
        <v>35</v>
      </c>
      <c r="Q117" s="13" t="s">
        <v>35</v>
      </c>
      <c r="R117" s="13" t="s">
        <v>35</v>
      </c>
      <c r="S117" s="13" t="s">
        <v>35</v>
      </c>
      <c r="T117" s="13" t="s">
        <v>35</v>
      </c>
    </row>
    <row r="118" spans="1:20" hidden="1">
      <c r="A118" s="9" t="str">
        <f>CONCATENATE($A$114,".",B118)</f>
        <v>2.1.7.4</v>
      </c>
      <c r="B118" s="9">
        <f>IF(B117=" ",1,B117+1)</f>
        <v>4</v>
      </c>
      <c r="C118" s="10" t="s">
        <v>171</v>
      </c>
      <c r="D118" s="11" t="s">
        <v>119</v>
      </c>
      <c r="E118" s="11" t="s">
        <v>29</v>
      </c>
      <c r="F118" s="15" t="str">
        <f>IF(Tabla15[[#This Row],[Columna1]]="","actividad","subactividad")</f>
        <v>subactividad</v>
      </c>
      <c r="G118" s="12"/>
      <c r="H118" s="19">
        <f t="shared" si="8"/>
        <v>45988</v>
      </c>
      <c r="I118" s="19">
        <f>IF(Tabla15[[#This Row],[Duracion ideal (dia)]]="",I117,Tabla15[[#This Row],[Inicio ideal]]+Tabla15[[#This Row],[Duracion ideal (dia)]])</f>
        <v>45988</v>
      </c>
      <c r="J118" s="12"/>
      <c r="K118" s="19">
        <f>IF(Tabla15[[#This Row],[Duracion Real (dia)]]="",K117,L117)</f>
        <v>45991</v>
      </c>
      <c r="L118" s="19">
        <f>IF(Tabla15[[#This Row],[Duracion Real (dia)]]="",L117,Tabla15[[#This Row],[Inicio Real]]+Tabla15[[#This Row],[Duracion Real (dia)]])</f>
        <v>45997</v>
      </c>
      <c r="M118" s="12"/>
      <c r="N118" s="19" t="s">
        <v>35</v>
      </c>
      <c r="O118" s="13" t="s">
        <v>35</v>
      </c>
      <c r="P118" s="13" t="s">
        <v>35</v>
      </c>
      <c r="Q118" s="13" t="s">
        <v>35</v>
      </c>
      <c r="R118" s="13" t="s">
        <v>35</v>
      </c>
      <c r="S118" s="13" t="s">
        <v>35</v>
      </c>
      <c r="T118" s="13" t="s">
        <v>35</v>
      </c>
    </row>
    <row r="119" spans="1:20" hidden="1">
      <c r="A119" s="9" t="str">
        <f>CONCATENATE($A$114,".",B119)</f>
        <v>2.1.7.5</v>
      </c>
      <c r="B119" s="9">
        <f>IF(B118=" ",1,B118+1)</f>
        <v>5</v>
      </c>
      <c r="C119" s="20" t="s">
        <v>172</v>
      </c>
      <c r="D119" s="15" t="s">
        <v>119</v>
      </c>
      <c r="E119" s="15" t="s">
        <v>29</v>
      </c>
      <c r="F119" s="15" t="str">
        <f>IF(Tabla15[[#This Row],[Columna1]]="","actividad","subactividad")</f>
        <v>subactividad</v>
      </c>
      <c r="G119" s="16"/>
      <c r="H119" s="19">
        <f t="shared" si="8"/>
        <v>45988</v>
      </c>
      <c r="I119" s="19">
        <f>IF(Tabla15[[#This Row],[Duracion ideal (dia)]]="",I118,Tabla15[[#This Row],[Inicio ideal]]+Tabla15[[#This Row],[Duracion ideal (dia)]])</f>
        <v>45988</v>
      </c>
      <c r="J119" s="16"/>
      <c r="K119" s="19">
        <f>IF(Tabla15[[#This Row],[Duracion Real (dia)]]="",K118,L118)</f>
        <v>45991</v>
      </c>
      <c r="L119" s="19">
        <f>IF(Tabla15[[#This Row],[Duracion Real (dia)]]="",L118,Tabla15[[#This Row],[Inicio Real]]+Tabla15[[#This Row],[Duracion Real (dia)]])</f>
        <v>45997</v>
      </c>
      <c r="M119" s="16"/>
      <c r="N119" s="19" t="s">
        <v>35</v>
      </c>
      <c r="O119" s="13" t="s">
        <v>35</v>
      </c>
      <c r="P119" s="13" t="s">
        <v>35</v>
      </c>
      <c r="Q119" s="13" t="s">
        <v>35</v>
      </c>
      <c r="R119" s="13" t="s">
        <v>35</v>
      </c>
      <c r="S119" s="13" t="s">
        <v>35</v>
      </c>
      <c r="T119" s="13" t="s">
        <v>35</v>
      </c>
    </row>
    <row r="120" spans="1:20">
      <c r="A120" s="9" t="s">
        <v>173</v>
      </c>
      <c r="B120" s="9"/>
      <c r="C120" s="22" t="s">
        <v>174</v>
      </c>
      <c r="D120" s="11" t="s">
        <v>119</v>
      </c>
      <c r="E120" s="11" t="s">
        <v>29</v>
      </c>
      <c r="F120" s="15" t="str">
        <f>IF(Tabla15[[#This Row],[Columna1]]="","actividad","subactividad")</f>
        <v>actividad</v>
      </c>
      <c r="G120" s="12" t="s">
        <v>32</v>
      </c>
      <c r="H120" s="19">
        <f t="shared" si="8"/>
        <v>45988</v>
      </c>
      <c r="I120" s="19">
        <f>IF(Tabla15[[#This Row],[Duracion ideal (dia)]]="",I119,Tabla15[[#This Row],[Inicio ideal]]+Tabla15[[#This Row],[Duracion ideal (dia)]])</f>
        <v>45991</v>
      </c>
      <c r="J120" s="12">
        <v>3</v>
      </c>
      <c r="K120" s="19">
        <f>IF(Tabla15[[#This Row],[Duracion Real (dia)]]="",K119,L119)</f>
        <v>45997</v>
      </c>
      <c r="L120" s="19">
        <f>IF(Tabla15[[#This Row],[Duracion Real (dia)]]="",L119,Tabla15[[#This Row],[Inicio Real]]+Tabla15[[#This Row],[Duracion Real (dia)]])</f>
        <v>46003</v>
      </c>
      <c r="M120" s="12">
        <v>6</v>
      </c>
      <c r="N120" s="19" t="s">
        <v>88</v>
      </c>
      <c r="O120" s="13">
        <v>60795.49</v>
      </c>
      <c r="P120" s="13">
        <v>4153.8599999999997</v>
      </c>
      <c r="Q120" s="13">
        <v>64949.35</v>
      </c>
      <c r="R120" s="13">
        <v>64257.04</v>
      </c>
      <c r="S120" s="13">
        <v>79034.137000000002</v>
      </c>
      <c r="T120" s="13">
        <v>79034.137000000002</v>
      </c>
    </row>
    <row r="121" spans="1:20" hidden="1">
      <c r="A121" s="9" t="str">
        <f>CONCATENATE($A$120,".",B121)</f>
        <v>2.1.8.1</v>
      </c>
      <c r="B121" s="9">
        <f>IF(B120=" ",1,B120+1)</f>
        <v>1</v>
      </c>
      <c r="C121" s="20" t="s">
        <v>175</v>
      </c>
      <c r="D121" s="15" t="s">
        <v>119</v>
      </c>
      <c r="E121" s="15" t="s">
        <v>29</v>
      </c>
      <c r="F121" s="15" t="str">
        <f>IF(Tabla15[[#This Row],[Columna1]]="","actividad","subactividad")</f>
        <v>subactividad</v>
      </c>
      <c r="G121" s="16"/>
      <c r="H121" s="19">
        <f t="shared" si="8"/>
        <v>45991</v>
      </c>
      <c r="I121" s="19">
        <f>IF(Tabla15[[#This Row],[Duracion ideal (dia)]]="",I120,Tabla15[[#This Row],[Inicio ideal]]+Tabla15[[#This Row],[Duracion ideal (dia)]])</f>
        <v>45991</v>
      </c>
      <c r="J121" s="16"/>
      <c r="K121" s="19">
        <f>IF(Tabla15[[#This Row],[Duracion Real (dia)]]="",K120,L120)</f>
        <v>45997</v>
      </c>
      <c r="L121" s="19">
        <f>IF(Tabla15[[#This Row],[Duracion Real (dia)]]="",L120,Tabla15[[#This Row],[Inicio Real]]+Tabla15[[#This Row],[Duracion Real (dia)]])</f>
        <v>46003</v>
      </c>
      <c r="M121" s="16"/>
      <c r="N121" s="19" t="s">
        <v>35</v>
      </c>
      <c r="O121" s="13" t="s">
        <v>35</v>
      </c>
      <c r="P121" s="13" t="s">
        <v>35</v>
      </c>
      <c r="Q121" s="13" t="s">
        <v>35</v>
      </c>
      <c r="R121" s="13" t="s">
        <v>35</v>
      </c>
      <c r="S121" s="13" t="s">
        <v>35</v>
      </c>
      <c r="T121" s="13" t="s">
        <v>35</v>
      </c>
    </row>
    <row r="122" spans="1:20" hidden="1">
      <c r="A122" s="9" t="str">
        <f>CONCATENATE($A$120,".",B122)</f>
        <v>2.1.8.2</v>
      </c>
      <c r="B122" s="9">
        <f>IF(B121=" ",1,B121+1)</f>
        <v>2</v>
      </c>
      <c r="C122" s="10" t="s">
        <v>176</v>
      </c>
      <c r="D122" s="11" t="s">
        <v>119</v>
      </c>
      <c r="E122" s="11" t="s">
        <v>29</v>
      </c>
      <c r="F122" s="15" t="str">
        <f>IF(Tabla15[[#This Row],[Columna1]]="","actividad","subactividad")</f>
        <v>subactividad</v>
      </c>
      <c r="G122" s="12"/>
      <c r="H122" s="19">
        <f t="shared" si="8"/>
        <v>45991</v>
      </c>
      <c r="I122" s="19">
        <f>IF(Tabla15[[#This Row],[Duracion ideal (dia)]]="",I121,Tabla15[[#This Row],[Inicio ideal]]+Tabla15[[#This Row],[Duracion ideal (dia)]])</f>
        <v>45991</v>
      </c>
      <c r="J122" s="12"/>
      <c r="K122" s="19">
        <f>IF(Tabla15[[#This Row],[Duracion Real (dia)]]="",K121,L121)</f>
        <v>45997</v>
      </c>
      <c r="L122" s="19">
        <f>IF(Tabla15[[#This Row],[Duracion Real (dia)]]="",L121,Tabla15[[#This Row],[Inicio Real]]+Tabla15[[#This Row],[Duracion Real (dia)]])</f>
        <v>46003</v>
      </c>
      <c r="M122" s="12"/>
      <c r="N122" s="19" t="s">
        <v>35</v>
      </c>
      <c r="O122" s="13" t="s">
        <v>35</v>
      </c>
      <c r="P122" s="13" t="s">
        <v>35</v>
      </c>
      <c r="Q122" s="13" t="s">
        <v>35</v>
      </c>
      <c r="R122" s="13" t="s">
        <v>35</v>
      </c>
      <c r="S122" s="13" t="s">
        <v>35</v>
      </c>
      <c r="T122" s="13" t="s">
        <v>35</v>
      </c>
    </row>
    <row r="123" spans="1:20" hidden="1">
      <c r="A123" s="9" t="str">
        <f>CONCATENATE($A$120,".",B123)</f>
        <v>2.1.8.3</v>
      </c>
      <c r="B123" s="9">
        <f>IF(B122=" ",1,B122+1)</f>
        <v>3</v>
      </c>
      <c r="C123" s="20" t="s">
        <v>177</v>
      </c>
      <c r="D123" s="15" t="s">
        <v>119</v>
      </c>
      <c r="E123" s="15" t="s">
        <v>29</v>
      </c>
      <c r="F123" s="15" t="str">
        <f>IF(Tabla15[[#This Row],[Columna1]]="","actividad","subactividad")</f>
        <v>subactividad</v>
      </c>
      <c r="G123" s="16"/>
      <c r="H123" s="19">
        <f t="shared" si="8"/>
        <v>45991</v>
      </c>
      <c r="I123" s="19">
        <f>IF(Tabla15[[#This Row],[Duracion ideal (dia)]]="",I122,Tabla15[[#This Row],[Inicio ideal]]+Tabla15[[#This Row],[Duracion ideal (dia)]])</f>
        <v>45991</v>
      </c>
      <c r="J123" s="16"/>
      <c r="K123" s="19">
        <f>IF(Tabla15[[#This Row],[Duracion Real (dia)]]="",K122,L122)</f>
        <v>45997</v>
      </c>
      <c r="L123" s="19">
        <f>IF(Tabla15[[#This Row],[Duracion Real (dia)]]="",L122,Tabla15[[#This Row],[Inicio Real]]+Tabla15[[#This Row],[Duracion Real (dia)]])</f>
        <v>46003</v>
      </c>
      <c r="M123" s="16"/>
      <c r="N123" s="19" t="s">
        <v>35</v>
      </c>
      <c r="O123" s="13" t="s">
        <v>35</v>
      </c>
      <c r="P123" s="13" t="s">
        <v>35</v>
      </c>
      <c r="Q123" s="13" t="s">
        <v>35</v>
      </c>
      <c r="R123" s="13" t="s">
        <v>35</v>
      </c>
      <c r="S123" s="13" t="s">
        <v>35</v>
      </c>
      <c r="T123" s="13" t="s">
        <v>35</v>
      </c>
    </row>
    <row r="124" spans="1:20" hidden="1">
      <c r="A124" s="9" t="str">
        <f>CONCATENATE($A$120,".",B124)</f>
        <v>2.1.8.4</v>
      </c>
      <c r="B124" s="9">
        <f>IF(B123=" ",1,B123+1)</f>
        <v>4</v>
      </c>
      <c r="C124" s="10" t="s">
        <v>178</v>
      </c>
      <c r="D124" s="11" t="s">
        <v>119</v>
      </c>
      <c r="E124" s="11" t="s">
        <v>29</v>
      </c>
      <c r="F124" s="15" t="str">
        <f>IF(Tabla15[[#This Row],[Columna1]]="","actividad","subactividad")</f>
        <v>subactividad</v>
      </c>
      <c r="G124" s="12"/>
      <c r="H124" s="19">
        <f t="shared" si="8"/>
        <v>45991</v>
      </c>
      <c r="I124" s="19">
        <f>IF(Tabla15[[#This Row],[Duracion ideal (dia)]]="",I123,Tabla15[[#This Row],[Inicio ideal]]+Tabla15[[#This Row],[Duracion ideal (dia)]])</f>
        <v>45991</v>
      </c>
      <c r="J124" s="12"/>
      <c r="K124" s="19">
        <f>IF(Tabla15[[#This Row],[Duracion Real (dia)]]="",K123,L123)</f>
        <v>45997</v>
      </c>
      <c r="L124" s="19">
        <f>IF(Tabla15[[#This Row],[Duracion Real (dia)]]="",L123,Tabla15[[#This Row],[Inicio Real]]+Tabla15[[#This Row],[Duracion Real (dia)]])</f>
        <v>46003</v>
      </c>
      <c r="M124" s="12"/>
      <c r="N124" s="19" t="s">
        <v>35</v>
      </c>
      <c r="O124" s="13" t="s">
        <v>35</v>
      </c>
      <c r="P124" s="13" t="s">
        <v>35</v>
      </c>
      <c r="Q124" s="13" t="s">
        <v>35</v>
      </c>
      <c r="R124" s="13" t="s">
        <v>35</v>
      </c>
      <c r="S124" s="13" t="s">
        <v>35</v>
      </c>
      <c r="T124" s="13" t="s">
        <v>35</v>
      </c>
    </row>
    <row r="125" spans="1:20">
      <c r="A125" s="9" t="s">
        <v>179</v>
      </c>
      <c r="B125" s="9"/>
      <c r="C125" s="21" t="s">
        <v>0</v>
      </c>
      <c r="D125" s="15" t="s">
        <v>119</v>
      </c>
      <c r="E125" s="15" t="s">
        <v>29</v>
      </c>
      <c r="F125" s="15" t="str">
        <f>IF(Tabla15[[#This Row],[Columna1]]="","actividad","subactividad")</f>
        <v>actividad</v>
      </c>
      <c r="G125" s="16" t="s">
        <v>32</v>
      </c>
      <c r="H125" s="19">
        <f t="shared" si="8"/>
        <v>45991</v>
      </c>
      <c r="I125" s="19">
        <f>IF(Tabla15[[#This Row],[Duracion ideal (dia)]]="",I124,Tabla15[[#This Row],[Inicio ideal]]+Tabla15[[#This Row],[Duracion ideal (dia)]])</f>
        <v>45998</v>
      </c>
      <c r="J125" s="16">
        <v>7</v>
      </c>
      <c r="K125" s="19">
        <f>IF(Tabla15[[#This Row],[Duracion Real (dia)]]="",K124,L124)</f>
        <v>46003</v>
      </c>
      <c r="L125" s="19">
        <f>IF(Tabla15[[#This Row],[Duracion Real (dia)]]="",L124,Tabla15[[#This Row],[Inicio Real]]+Tabla15[[#This Row],[Duracion Real (dia)]])</f>
        <v>46010</v>
      </c>
      <c r="M125" s="16">
        <v>7</v>
      </c>
      <c r="N125" s="19" t="s">
        <v>33</v>
      </c>
      <c r="O125" s="13">
        <v>60795.49</v>
      </c>
      <c r="P125" s="13">
        <v>8723.0500000000011</v>
      </c>
      <c r="Q125" s="13">
        <v>69518.539999999994</v>
      </c>
      <c r="R125" s="13">
        <v>69518.539999999994</v>
      </c>
      <c r="S125" s="13">
        <v>79034.137000000002</v>
      </c>
      <c r="T125" s="13">
        <v>79034.137000000002</v>
      </c>
    </row>
    <row r="126" spans="1:20" hidden="1">
      <c r="A126" s="9" t="str">
        <f t="shared" ref="A126:A135" si="9">CONCATENATE($A$125,".",B126)</f>
        <v>2.1.9.1</v>
      </c>
      <c r="B126" s="9">
        <f t="shared" ref="B126:B135" si="10">IF(B125=" ",1,B125+1)</f>
        <v>1</v>
      </c>
      <c r="C126" s="10" t="s">
        <v>180</v>
      </c>
      <c r="D126" s="11" t="s">
        <v>119</v>
      </c>
      <c r="E126" s="11" t="s">
        <v>29</v>
      </c>
      <c r="F126" s="15" t="str">
        <f>IF(Tabla15[[#This Row],[Columna1]]="","actividad","subactividad")</f>
        <v>subactividad</v>
      </c>
      <c r="G126" s="12"/>
      <c r="H126" s="19">
        <f t="shared" si="8"/>
        <v>45998</v>
      </c>
      <c r="I126" s="19">
        <f>IF(Tabla15[[#This Row],[Duracion ideal (dia)]]="",I125,Tabla15[[#This Row],[Inicio ideal]]+Tabla15[[#This Row],[Duracion ideal (dia)]])</f>
        <v>45998</v>
      </c>
      <c r="J126" s="12"/>
      <c r="K126" s="19">
        <f>IF(Tabla15[[#This Row],[Duracion Real (dia)]]="",K125,L125)</f>
        <v>46003</v>
      </c>
      <c r="L126" s="19">
        <f>IF(Tabla15[[#This Row],[Duracion Real (dia)]]="",L125,Tabla15[[#This Row],[Inicio Real]]+Tabla15[[#This Row],[Duracion Real (dia)]])</f>
        <v>46010</v>
      </c>
      <c r="M126" s="12"/>
      <c r="N126" s="19" t="s">
        <v>35</v>
      </c>
      <c r="O126" s="13" t="s">
        <v>35</v>
      </c>
      <c r="P126" s="13" t="s">
        <v>35</v>
      </c>
      <c r="Q126" s="13" t="s">
        <v>35</v>
      </c>
      <c r="R126" s="13" t="s">
        <v>35</v>
      </c>
      <c r="S126" s="13" t="s">
        <v>35</v>
      </c>
      <c r="T126" s="13" t="s">
        <v>35</v>
      </c>
    </row>
    <row r="127" spans="1:20" hidden="1">
      <c r="A127" s="9" t="str">
        <f t="shared" si="9"/>
        <v>2.1.9.2</v>
      </c>
      <c r="B127" s="9">
        <f t="shared" si="10"/>
        <v>2</v>
      </c>
      <c r="C127" s="20" t="s">
        <v>181</v>
      </c>
      <c r="D127" s="15" t="s">
        <v>119</v>
      </c>
      <c r="E127" s="15" t="s">
        <v>29</v>
      </c>
      <c r="F127" s="15" t="str">
        <f>IF(Tabla15[[#This Row],[Columna1]]="","actividad","subactividad")</f>
        <v>subactividad</v>
      </c>
      <c r="G127" s="16"/>
      <c r="H127" s="19">
        <f t="shared" si="8"/>
        <v>45998</v>
      </c>
      <c r="I127" s="19">
        <f>IF(Tabla15[[#This Row],[Duracion ideal (dia)]]="",I126,Tabla15[[#This Row],[Inicio ideal]]+Tabla15[[#This Row],[Duracion ideal (dia)]])</f>
        <v>45998</v>
      </c>
      <c r="J127" s="16"/>
      <c r="K127" s="19">
        <f>IF(Tabla15[[#This Row],[Duracion Real (dia)]]="",K126,L126)</f>
        <v>46003</v>
      </c>
      <c r="L127" s="19">
        <f>IF(Tabla15[[#This Row],[Duracion Real (dia)]]="",L126,Tabla15[[#This Row],[Inicio Real]]+Tabla15[[#This Row],[Duracion Real (dia)]])</f>
        <v>46010</v>
      </c>
      <c r="M127" s="16"/>
      <c r="N127" s="19" t="s">
        <v>35</v>
      </c>
      <c r="O127" s="13" t="s">
        <v>35</v>
      </c>
      <c r="P127" s="13" t="s">
        <v>35</v>
      </c>
      <c r="Q127" s="13" t="s">
        <v>35</v>
      </c>
      <c r="R127" s="13" t="s">
        <v>35</v>
      </c>
      <c r="S127" s="13" t="s">
        <v>35</v>
      </c>
      <c r="T127" s="13" t="s">
        <v>35</v>
      </c>
    </row>
    <row r="128" spans="1:20" hidden="1">
      <c r="A128" s="9" t="str">
        <f t="shared" si="9"/>
        <v>2.1.9.3</v>
      </c>
      <c r="B128" s="9">
        <f t="shared" si="10"/>
        <v>3</v>
      </c>
      <c r="C128" s="10" t="s">
        <v>182</v>
      </c>
      <c r="D128" s="11" t="s">
        <v>119</v>
      </c>
      <c r="E128" s="11" t="s">
        <v>29</v>
      </c>
      <c r="F128" s="15" t="str">
        <f>IF(Tabla15[[#This Row],[Columna1]]="","actividad","subactividad")</f>
        <v>subactividad</v>
      </c>
      <c r="G128" s="12"/>
      <c r="H128" s="19">
        <f t="shared" si="8"/>
        <v>45998</v>
      </c>
      <c r="I128" s="19">
        <f>IF(Tabla15[[#This Row],[Duracion ideal (dia)]]="",I127,Tabla15[[#This Row],[Inicio ideal]]+Tabla15[[#This Row],[Duracion ideal (dia)]])</f>
        <v>45998</v>
      </c>
      <c r="J128" s="12"/>
      <c r="K128" s="19">
        <f>IF(Tabla15[[#This Row],[Duracion Real (dia)]]="",K127,L127)</f>
        <v>46003</v>
      </c>
      <c r="L128" s="19">
        <f>IF(Tabla15[[#This Row],[Duracion Real (dia)]]="",L127,Tabla15[[#This Row],[Inicio Real]]+Tabla15[[#This Row],[Duracion Real (dia)]])</f>
        <v>46010</v>
      </c>
      <c r="M128" s="12"/>
      <c r="N128" s="19" t="s">
        <v>35</v>
      </c>
      <c r="O128" s="13" t="s">
        <v>35</v>
      </c>
      <c r="P128" s="13" t="s">
        <v>35</v>
      </c>
      <c r="Q128" s="13" t="s">
        <v>35</v>
      </c>
      <c r="R128" s="13" t="s">
        <v>35</v>
      </c>
      <c r="S128" s="13" t="s">
        <v>35</v>
      </c>
      <c r="T128" s="13" t="s">
        <v>35</v>
      </c>
    </row>
    <row r="129" spans="1:20" hidden="1">
      <c r="A129" s="9" t="str">
        <f t="shared" si="9"/>
        <v>2.1.9.4</v>
      </c>
      <c r="B129" s="9">
        <f t="shared" si="10"/>
        <v>4</v>
      </c>
      <c r="C129" s="20" t="s">
        <v>183</v>
      </c>
      <c r="D129" s="15" t="s">
        <v>119</v>
      </c>
      <c r="E129" s="15" t="s">
        <v>29</v>
      </c>
      <c r="F129" s="15" t="str">
        <f>IF(Tabla15[[#This Row],[Columna1]]="","actividad","subactividad")</f>
        <v>subactividad</v>
      </c>
      <c r="G129" s="16"/>
      <c r="H129" s="19">
        <f t="shared" si="8"/>
        <v>45998</v>
      </c>
      <c r="I129" s="19">
        <f>IF(Tabla15[[#This Row],[Duracion ideal (dia)]]="",I128,Tabla15[[#This Row],[Inicio ideal]]+Tabla15[[#This Row],[Duracion ideal (dia)]])</f>
        <v>45998</v>
      </c>
      <c r="J129" s="16"/>
      <c r="K129" s="19">
        <f>IF(Tabla15[[#This Row],[Duracion Real (dia)]]="",K128,L128)</f>
        <v>46003</v>
      </c>
      <c r="L129" s="19">
        <f>IF(Tabla15[[#This Row],[Duracion Real (dia)]]="",L128,Tabla15[[#This Row],[Inicio Real]]+Tabla15[[#This Row],[Duracion Real (dia)]])</f>
        <v>46010</v>
      </c>
      <c r="M129" s="16"/>
      <c r="N129" s="19" t="s">
        <v>35</v>
      </c>
      <c r="O129" s="13" t="s">
        <v>35</v>
      </c>
      <c r="P129" s="13" t="s">
        <v>35</v>
      </c>
      <c r="Q129" s="13" t="s">
        <v>35</v>
      </c>
      <c r="R129" s="13" t="s">
        <v>35</v>
      </c>
      <c r="S129" s="13" t="s">
        <v>35</v>
      </c>
      <c r="T129" s="13" t="s">
        <v>35</v>
      </c>
    </row>
    <row r="130" spans="1:20" hidden="1">
      <c r="A130" s="9" t="str">
        <f t="shared" si="9"/>
        <v>2.1.9.5</v>
      </c>
      <c r="B130" s="9">
        <f t="shared" si="10"/>
        <v>5</v>
      </c>
      <c r="C130" s="10" t="s">
        <v>184</v>
      </c>
      <c r="D130" s="11" t="s">
        <v>119</v>
      </c>
      <c r="E130" s="11" t="s">
        <v>29</v>
      </c>
      <c r="F130" s="15" t="str">
        <f>IF(Tabla15[[#This Row],[Columna1]]="","actividad","subactividad")</f>
        <v>subactividad</v>
      </c>
      <c r="G130" s="12"/>
      <c r="H130" s="19">
        <f t="shared" si="8"/>
        <v>45998</v>
      </c>
      <c r="I130" s="19">
        <f>IF(Tabla15[[#This Row],[Duracion ideal (dia)]]="",I129,Tabla15[[#This Row],[Inicio ideal]]+Tabla15[[#This Row],[Duracion ideal (dia)]])</f>
        <v>45998</v>
      </c>
      <c r="J130" s="12"/>
      <c r="K130" s="19">
        <f>IF(Tabla15[[#This Row],[Duracion Real (dia)]]="",K129,L129)</f>
        <v>46003</v>
      </c>
      <c r="L130" s="19">
        <f>IF(Tabla15[[#This Row],[Duracion Real (dia)]]="",L129,Tabla15[[#This Row],[Inicio Real]]+Tabla15[[#This Row],[Duracion Real (dia)]])</f>
        <v>46010</v>
      </c>
      <c r="M130" s="12"/>
      <c r="N130" s="19" t="s">
        <v>35</v>
      </c>
      <c r="O130" s="13" t="s">
        <v>35</v>
      </c>
      <c r="P130" s="13" t="s">
        <v>35</v>
      </c>
      <c r="Q130" s="13" t="s">
        <v>35</v>
      </c>
      <c r="R130" s="13" t="s">
        <v>35</v>
      </c>
      <c r="S130" s="13" t="s">
        <v>35</v>
      </c>
      <c r="T130" s="13" t="s">
        <v>35</v>
      </c>
    </row>
    <row r="131" spans="1:20" hidden="1">
      <c r="A131" s="9" t="str">
        <f t="shared" si="9"/>
        <v>2.1.9.6</v>
      </c>
      <c r="B131" s="9">
        <f t="shared" si="10"/>
        <v>6</v>
      </c>
      <c r="C131" s="20" t="s">
        <v>185</v>
      </c>
      <c r="D131" s="15" t="s">
        <v>119</v>
      </c>
      <c r="E131" s="15" t="s">
        <v>29</v>
      </c>
      <c r="F131" s="15" t="str">
        <f>IF(Tabla15[[#This Row],[Columna1]]="","actividad","subactividad")</f>
        <v>subactividad</v>
      </c>
      <c r="G131" s="16"/>
      <c r="H131" s="19">
        <f t="shared" si="8"/>
        <v>45998</v>
      </c>
      <c r="I131" s="19">
        <f>IF(Tabla15[[#This Row],[Duracion ideal (dia)]]="",I130,Tabla15[[#This Row],[Inicio ideal]]+Tabla15[[#This Row],[Duracion ideal (dia)]])</f>
        <v>45998</v>
      </c>
      <c r="J131" s="16"/>
      <c r="K131" s="19">
        <f>IF(Tabla15[[#This Row],[Duracion Real (dia)]]="",K130,L130)</f>
        <v>46003</v>
      </c>
      <c r="L131" s="19">
        <f>IF(Tabla15[[#This Row],[Duracion Real (dia)]]="",L130,Tabla15[[#This Row],[Inicio Real]]+Tabla15[[#This Row],[Duracion Real (dia)]])</f>
        <v>46010</v>
      </c>
      <c r="M131" s="16"/>
      <c r="N131" s="19" t="s">
        <v>35</v>
      </c>
      <c r="O131" s="13" t="s">
        <v>35</v>
      </c>
      <c r="P131" s="13" t="s">
        <v>35</v>
      </c>
      <c r="Q131" s="13" t="s">
        <v>35</v>
      </c>
      <c r="R131" s="13" t="s">
        <v>35</v>
      </c>
      <c r="S131" s="13" t="s">
        <v>35</v>
      </c>
      <c r="T131" s="13" t="s">
        <v>35</v>
      </c>
    </row>
    <row r="132" spans="1:20" hidden="1">
      <c r="A132" s="9" t="str">
        <f t="shared" si="9"/>
        <v>2.1.9.7</v>
      </c>
      <c r="B132" s="9">
        <f t="shared" si="10"/>
        <v>7</v>
      </c>
      <c r="C132" s="10" t="s">
        <v>186</v>
      </c>
      <c r="D132" s="11" t="s">
        <v>119</v>
      </c>
      <c r="E132" s="11" t="s">
        <v>29</v>
      </c>
      <c r="F132" s="15" t="str">
        <f>IF(Tabla15[[#This Row],[Columna1]]="","actividad","subactividad")</f>
        <v>subactividad</v>
      </c>
      <c r="G132" s="12"/>
      <c r="H132" s="19">
        <f t="shared" si="8"/>
        <v>45998</v>
      </c>
      <c r="I132" s="19">
        <f>IF(Tabla15[[#This Row],[Duracion ideal (dia)]]="",I131,Tabla15[[#This Row],[Inicio ideal]]+Tabla15[[#This Row],[Duracion ideal (dia)]])</f>
        <v>45998</v>
      </c>
      <c r="J132" s="12"/>
      <c r="K132" s="19">
        <f>IF(Tabla15[[#This Row],[Duracion Real (dia)]]="",K131,L131)</f>
        <v>46003</v>
      </c>
      <c r="L132" s="19">
        <f>IF(Tabla15[[#This Row],[Duracion Real (dia)]]="",L131,Tabla15[[#This Row],[Inicio Real]]+Tabla15[[#This Row],[Duracion Real (dia)]])</f>
        <v>46010</v>
      </c>
      <c r="M132" s="12"/>
      <c r="N132" s="19" t="s">
        <v>35</v>
      </c>
      <c r="O132" s="13" t="s">
        <v>35</v>
      </c>
      <c r="P132" s="13" t="s">
        <v>35</v>
      </c>
      <c r="Q132" s="13" t="s">
        <v>35</v>
      </c>
      <c r="R132" s="13" t="s">
        <v>35</v>
      </c>
      <c r="S132" s="13" t="s">
        <v>35</v>
      </c>
      <c r="T132" s="13" t="s">
        <v>35</v>
      </c>
    </row>
    <row r="133" spans="1:20" hidden="1">
      <c r="A133" s="9" t="str">
        <f t="shared" si="9"/>
        <v>2.1.9.8</v>
      </c>
      <c r="B133" s="9">
        <f t="shared" si="10"/>
        <v>8</v>
      </c>
      <c r="C133" s="20" t="s">
        <v>187</v>
      </c>
      <c r="D133" s="15" t="s">
        <v>119</v>
      </c>
      <c r="E133" s="15" t="s">
        <v>29</v>
      </c>
      <c r="F133" s="15" t="str">
        <f>IF(Tabla15[[#This Row],[Columna1]]="","actividad","subactividad")</f>
        <v>subactividad</v>
      </c>
      <c r="G133" s="16"/>
      <c r="H133" s="19">
        <f t="shared" si="8"/>
        <v>45998</v>
      </c>
      <c r="I133" s="19">
        <f>IF(Tabla15[[#This Row],[Duracion ideal (dia)]]="",I132,Tabla15[[#This Row],[Inicio ideal]]+Tabla15[[#This Row],[Duracion ideal (dia)]])</f>
        <v>45998</v>
      </c>
      <c r="J133" s="16"/>
      <c r="K133" s="19">
        <f>IF(Tabla15[[#This Row],[Duracion Real (dia)]]="",K132,L132)</f>
        <v>46003</v>
      </c>
      <c r="L133" s="19">
        <f>IF(Tabla15[[#This Row],[Duracion Real (dia)]]="",L132,Tabla15[[#This Row],[Inicio Real]]+Tabla15[[#This Row],[Duracion Real (dia)]])</f>
        <v>46010</v>
      </c>
      <c r="M133" s="16"/>
      <c r="N133" s="19" t="s">
        <v>35</v>
      </c>
      <c r="O133" s="13" t="s">
        <v>35</v>
      </c>
      <c r="P133" s="13" t="s">
        <v>35</v>
      </c>
      <c r="Q133" s="13" t="s">
        <v>35</v>
      </c>
      <c r="R133" s="13" t="s">
        <v>35</v>
      </c>
      <c r="S133" s="13" t="s">
        <v>35</v>
      </c>
      <c r="T133" s="13" t="s">
        <v>35</v>
      </c>
    </row>
    <row r="134" spans="1:20" hidden="1">
      <c r="A134" s="9" t="str">
        <f t="shared" si="9"/>
        <v>2.1.9.9</v>
      </c>
      <c r="B134" s="9">
        <f t="shared" si="10"/>
        <v>9</v>
      </c>
      <c r="C134" s="10" t="s">
        <v>188</v>
      </c>
      <c r="D134" s="11" t="s">
        <v>119</v>
      </c>
      <c r="E134" s="11" t="s">
        <v>29</v>
      </c>
      <c r="F134" s="15" t="str">
        <f>IF(Tabla15[[#This Row],[Columna1]]="","actividad","subactividad")</f>
        <v>subactividad</v>
      </c>
      <c r="G134" s="12"/>
      <c r="H134" s="19">
        <f t="shared" si="8"/>
        <v>45998</v>
      </c>
      <c r="I134" s="19">
        <f>IF(Tabla15[[#This Row],[Duracion ideal (dia)]]="",I133,Tabla15[[#This Row],[Inicio ideal]]+Tabla15[[#This Row],[Duracion ideal (dia)]])</f>
        <v>45998</v>
      </c>
      <c r="J134" s="12"/>
      <c r="K134" s="19">
        <f>IF(Tabla15[[#This Row],[Duracion Real (dia)]]="",K133,L133)</f>
        <v>46003</v>
      </c>
      <c r="L134" s="19">
        <f>IF(Tabla15[[#This Row],[Duracion Real (dia)]]="",L133,Tabla15[[#This Row],[Inicio Real]]+Tabla15[[#This Row],[Duracion Real (dia)]])</f>
        <v>46010</v>
      </c>
      <c r="M134" s="12"/>
      <c r="N134" s="19" t="s">
        <v>35</v>
      </c>
      <c r="O134" s="13" t="s">
        <v>35</v>
      </c>
      <c r="P134" s="13" t="s">
        <v>35</v>
      </c>
      <c r="Q134" s="13" t="s">
        <v>35</v>
      </c>
      <c r="R134" s="13" t="s">
        <v>35</v>
      </c>
      <c r="S134" s="13" t="s">
        <v>35</v>
      </c>
      <c r="T134" s="13" t="s">
        <v>35</v>
      </c>
    </row>
    <row r="135" spans="1:20" hidden="1">
      <c r="A135" s="9" t="str">
        <f t="shared" si="9"/>
        <v>2.1.9.10</v>
      </c>
      <c r="B135" s="9">
        <f t="shared" si="10"/>
        <v>10</v>
      </c>
      <c r="C135" s="20" t="s">
        <v>189</v>
      </c>
      <c r="D135" s="15" t="s">
        <v>119</v>
      </c>
      <c r="E135" s="15" t="s">
        <v>29</v>
      </c>
      <c r="F135" s="15" t="str">
        <f>IF(Tabla15[[#This Row],[Columna1]]="","actividad","subactividad")</f>
        <v>subactividad</v>
      </c>
      <c r="G135" s="16"/>
      <c r="H135" s="19">
        <f t="shared" si="8"/>
        <v>45998</v>
      </c>
      <c r="I135" s="19">
        <f>IF(Tabla15[[#This Row],[Duracion ideal (dia)]]="",I134,Tabla15[[#This Row],[Inicio ideal]]+Tabla15[[#This Row],[Duracion ideal (dia)]])</f>
        <v>45998</v>
      </c>
      <c r="J135" s="16"/>
      <c r="K135" s="19">
        <f>IF(Tabla15[[#This Row],[Duracion Real (dia)]]="",K134,L134)</f>
        <v>46003</v>
      </c>
      <c r="L135" s="19">
        <f>IF(Tabla15[[#This Row],[Duracion Real (dia)]]="",L134,Tabla15[[#This Row],[Inicio Real]]+Tabla15[[#This Row],[Duracion Real (dia)]])</f>
        <v>46010</v>
      </c>
      <c r="M135" s="16"/>
      <c r="N135" s="19" t="s">
        <v>35</v>
      </c>
      <c r="O135" s="13" t="s">
        <v>35</v>
      </c>
      <c r="P135" s="13" t="s">
        <v>35</v>
      </c>
      <c r="Q135" s="13" t="s">
        <v>35</v>
      </c>
      <c r="R135" s="13" t="s">
        <v>35</v>
      </c>
      <c r="S135" s="13" t="s">
        <v>35</v>
      </c>
      <c r="T135" s="13" t="s">
        <v>35</v>
      </c>
    </row>
    <row r="136" spans="1:20">
      <c r="A136" s="9" t="s">
        <v>190</v>
      </c>
      <c r="B136" s="9"/>
      <c r="C136" s="22" t="s">
        <v>191</v>
      </c>
      <c r="D136" s="11" t="s">
        <v>119</v>
      </c>
      <c r="E136" s="11" t="s">
        <v>29</v>
      </c>
      <c r="F136" s="15" t="str">
        <f>IF(Tabla15[[#This Row],[Columna1]]="","actividad","subactividad")</f>
        <v>actividad</v>
      </c>
      <c r="G136" s="12" t="s">
        <v>32</v>
      </c>
      <c r="H136" s="19">
        <f t="shared" si="8"/>
        <v>45998</v>
      </c>
      <c r="I136" s="19">
        <f>IF(Tabla15[[#This Row],[Duracion ideal (dia)]]="",I135,Tabla15[[#This Row],[Inicio ideal]]+Tabla15[[#This Row],[Duracion ideal (dia)]])</f>
        <v>46003</v>
      </c>
      <c r="J136" s="12">
        <v>5</v>
      </c>
      <c r="K136" s="19">
        <f>IF(Tabla15[[#This Row],[Duracion Real (dia)]]="",K135,L135)</f>
        <v>46010</v>
      </c>
      <c r="L136" s="19">
        <f>IF(Tabla15[[#This Row],[Duracion Real (dia)]]="",L135,Tabla15[[#This Row],[Inicio Real]]+Tabla15[[#This Row],[Duracion Real (dia)]])</f>
        <v>46016</v>
      </c>
      <c r="M136" s="12">
        <v>6</v>
      </c>
      <c r="N136" s="19" t="s">
        <v>60</v>
      </c>
      <c r="O136" s="13">
        <v>60795.49</v>
      </c>
      <c r="P136" s="13">
        <v>6230.75</v>
      </c>
      <c r="Q136" s="13">
        <v>67026.239999999991</v>
      </c>
      <c r="R136" s="13">
        <v>70021.239999999991</v>
      </c>
      <c r="S136" s="13">
        <v>79034.137000000002</v>
      </c>
      <c r="T136" s="13">
        <v>79034.137000000002</v>
      </c>
    </row>
    <row r="137" spans="1:20" hidden="1">
      <c r="A137" s="9" t="str">
        <f>CONCATENATE($A$136,".",B137)</f>
        <v>2.1.10.1</v>
      </c>
      <c r="B137" s="9">
        <f>IF(B136=" ",1,B136+1)</f>
        <v>1</v>
      </c>
      <c r="C137" s="20" t="s">
        <v>192</v>
      </c>
      <c r="D137" s="15" t="s">
        <v>119</v>
      </c>
      <c r="E137" s="15" t="s">
        <v>29</v>
      </c>
      <c r="F137" s="15" t="str">
        <f>IF(Tabla15[[#This Row],[Columna1]]="","actividad","subactividad")</f>
        <v>subactividad</v>
      </c>
      <c r="G137" s="16"/>
      <c r="H137" s="19">
        <f t="shared" si="8"/>
        <v>46003</v>
      </c>
      <c r="I137" s="19">
        <f>IF(Tabla15[[#This Row],[Duracion ideal (dia)]]="",I136,Tabla15[[#This Row],[Inicio ideal]]+Tabla15[[#This Row],[Duracion ideal (dia)]])</f>
        <v>46003</v>
      </c>
      <c r="J137" s="16"/>
      <c r="K137" s="19">
        <f>IF(Tabla15[[#This Row],[Duracion Real (dia)]]="",K136,L136)</f>
        <v>46010</v>
      </c>
      <c r="L137" s="19">
        <f>IF(Tabla15[[#This Row],[Duracion Real (dia)]]="",L136,Tabla15[[#This Row],[Inicio Real]]+Tabla15[[#This Row],[Duracion Real (dia)]])</f>
        <v>46016</v>
      </c>
      <c r="M137" s="16"/>
      <c r="N137" s="19" t="s">
        <v>35</v>
      </c>
      <c r="O137" s="13" t="s">
        <v>35</v>
      </c>
      <c r="P137" s="13" t="s">
        <v>35</v>
      </c>
      <c r="Q137" s="13" t="s">
        <v>35</v>
      </c>
      <c r="R137" s="13" t="s">
        <v>35</v>
      </c>
      <c r="S137" s="13" t="s">
        <v>35</v>
      </c>
      <c r="T137" s="13" t="s">
        <v>35</v>
      </c>
    </row>
    <row r="138" spans="1:20" hidden="1">
      <c r="A138" s="9" t="str">
        <f>CONCATENATE($A$136,".",B138)</f>
        <v>2.1.10.2</v>
      </c>
      <c r="B138" s="9">
        <f>IF(B137=" ",1,B137+1)</f>
        <v>2</v>
      </c>
      <c r="C138" s="10" t="s">
        <v>193</v>
      </c>
      <c r="D138" s="11" t="s">
        <v>119</v>
      </c>
      <c r="E138" s="11" t="s">
        <v>29</v>
      </c>
      <c r="F138" s="15" t="str">
        <f>IF(Tabla15[[#This Row],[Columna1]]="","actividad","subactividad")</f>
        <v>subactividad</v>
      </c>
      <c r="G138" s="12"/>
      <c r="H138" s="19">
        <f t="shared" si="8"/>
        <v>46003</v>
      </c>
      <c r="I138" s="19">
        <f>IF(Tabla15[[#This Row],[Duracion ideal (dia)]]="",I137,Tabla15[[#This Row],[Inicio ideal]]+Tabla15[[#This Row],[Duracion ideal (dia)]])</f>
        <v>46003</v>
      </c>
      <c r="J138" s="12"/>
      <c r="K138" s="19">
        <f>IF(Tabla15[[#This Row],[Duracion Real (dia)]]="",K137,L137)</f>
        <v>46010</v>
      </c>
      <c r="L138" s="19">
        <f>IF(Tabla15[[#This Row],[Duracion Real (dia)]]="",L137,Tabla15[[#This Row],[Inicio Real]]+Tabla15[[#This Row],[Duracion Real (dia)]])</f>
        <v>46016</v>
      </c>
      <c r="M138" s="12"/>
      <c r="N138" s="19" t="s">
        <v>35</v>
      </c>
      <c r="O138" s="13" t="s">
        <v>35</v>
      </c>
      <c r="P138" s="13" t="s">
        <v>35</v>
      </c>
      <c r="Q138" s="13" t="s">
        <v>35</v>
      </c>
      <c r="R138" s="13" t="s">
        <v>35</v>
      </c>
      <c r="S138" s="13" t="s">
        <v>35</v>
      </c>
      <c r="T138" s="13" t="s">
        <v>35</v>
      </c>
    </row>
    <row r="139" spans="1:20" hidden="1">
      <c r="A139" s="9" t="str">
        <f>CONCATENATE($A$136,".",B139)</f>
        <v>2.1.10.3</v>
      </c>
      <c r="B139" s="9">
        <f>IF(B138=" ",1,B138+1)</f>
        <v>3</v>
      </c>
      <c r="C139" s="20" t="s">
        <v>178</v>
      </c>
      <c r="D139" s="15" t="s">
        <v>119</v>
      </c>
      <c r="E139" s="15" t="s">
        <v>29</v>
      </c>
      <c r="F139" s="15" t="str">
        <f>IF(Tabla15[[#This Row],[Columna1]]="","actividad","subactividad")</f>
        <v>subactividad</v>
      </c>
      <c r="G139" s="16"/>
      <c r="H139" s="19">
        <f t="shared" si="8"/>
        <v>46003</v>
      </c>
      <c r="I139" s="19">
        <f>IF(Tabla15[[#This Row],[Duracion ideal (dia)]]="",I138,Tabla15[[#This Row],[Inicio ideal]]+Tabla15[[#This Row],[Duracion ideal (dia)]])</f>
        <v>46003</v>
      </c>
      <c r="J139" s="16"/>
      <c r="K139" s="19">
        <f>IF(Tabla15[[#This Row],[Duracion Real (dia)]]="",K138,L138)</f>
        <v>46010</v>
      </c>
      <c r="L139" s="19">
        <f>IF(Tabla15[[#This Row],[Duracion Real (dia)]]="",L138,Tabla15[[#This Row],[Inicio Real]]+Tabla15[[#This Row],[Duracion Real (dia)]])</f>
        <v>46016</v>
      </c>
      <c r="M139" s="16"/>
      <c r="N139" s="19" t="s">
        <v>35</v>
      </c>
      <c r="O139" s="13" t="s">
        <v>35</v>
      </c>
      <c r="P139" s="13" t="s">
        <v>35</v>
      </c>
      <c r="Q139" s="13" t="s">
        <v>35</v>
      </c>
      <c r="R139" s="13" t="s">
        <v>35</v>
      </c>
      <c r="S139" s="13" t="s">
        <v>35</v>
      </c>
      <c r="T139" s="13" t="s">
        <v>35</v>
      </c>
    </row>
    <row r="140" spans="1:20" hidden="1">
      <c r="A140" s="9" t="str">
        <f>CONCATENATE($A$136,".",B140)</f>
        <v>2.1.10.4</v>
      </c>
      <c r="B140" s="9">
        <f>IF(B139=" ",1,B139+1)</f>
        <v>4</v>
      </c>
      <c r="C140" s="10" t="s">
        <v>194</v>
      </c>
      <c r="D140" s="11" t="s">
        <v>119</v>
      </c>
      <c r="E140" s="11" t="s">
        <v>29</v>
      </c>
      <c r="F140" s="15" t="str">
        <f>IF(Tabla15[[#This Row],[Columna1]]="","actividad","subactividad")</f>
        <v>subactividad</v>
      </c>
      <c r="G140" s="12"/>
      <c r="H140" s="19">
        <f t="shared" si="8"/>
        <v>46003</v>
      </c>
      <c r="I140" s="19">
        <f>IF(Tabla15[[#This Row],[Duracion ideal (dia)]]="",I139,Tabla15[[#This Row],[Inicio ideal]]+Tabla15[[#This Row],[Duracion ideal (dia)]])</f>
        <v>46003</v>
      </c>
      <c r="J140" s="12"/>
      <c r="K140" s="19">
        <f>IF(Tabla15[[#This Row],[Duracion Real (dia)]]="",K139,L139)</f>
        <v>46010</v>
      </c>
      <c r="L140" s="19">
        <f>IF(Tabla15[[#This Row],[Duracion Real (dia)]]="",L139,Tabla15[[#This Row],[Inicio Real]]+Tabla15[[#This Row],[Duracion Real (dia)]])</f>
        <v>46016</v>
      </c>
      <c r="M140" s="12"/>
      <c r="N140" s="19" t="s">
        <v>35</v>
      </c>
      <c r="O140" s="13" t="s">
        <v>35</v>
      </c>
      <c r="P140" s="13" t="s">
        <v>35</v>
      </c>
      <c r="Q140" s="13" t="s">
        <v>35</v>
      </c>
      <c r="R140" s="13" t="s">
        <v>35</v>
      </c>
      <c r="S140" s="13" t="s">
        <v>35</v>
      </c>
      <c r="T140" s="13" t="s">
        <v>35</v>
      </c>
    </row>
    <row r="141" spans="1:20">
      <c r="A141" s="9" t="s">
        <v>195</v>
      </c>
      <c r="B141" s="9"/>
      <c r="C141" s="25" t="s">
        <v>196</v>
      </c>
      <c r="D141" s="15" t="s">
        <v>119</v>
      </c>
      <c r="E141" s="15" t="s">
        <v>29</v>
      </c>
      <c r="F141" s="15" t="str">
        <f>IF(Tabla15[[#This Row],[Columna1]]="","actividad","subactividad")</f>
        <v>actividad</v>
      </c>
      <c r="G141" s="16" t="s">
        <v>197</v>
      </c>
      <c r="H141" s="19">
        <f t="shared" si="8"/>
        <v>46003</v>
      </c>
      <c r="I141" s="19">
        <f>IF(Tabla15[[#This Row],[Duracion ideal (dia)]]="",I140,Tabla15[[#This Row],[Inicio ideal]]+Tabla15[[#This Row],[Duracion ideal (dia)]])</f>
        <v>46003</v>
      </c>
      <c r="J141" s="16"/>
      <c r="K141" s="19">
        <f>IF(Tabla15[[#This Row],[Duracion Real (dia)]]="",K140,L140)</f>
        <v>46010</v>
      </c>
      <c r="L141" s="19">
        <f>IF(Tabla15[[#This Row],[Duracion Real (dia)]]="",L140,Tabla15[[#This Row],[Inicio Real]]+Tabla15[[#This Row],[Duracion Real (dia)]])</f>
        <v>46016</v>
      </c>
      <c r="M141" s="16"/>
      <c r="N141" s="19" t="s">
        <v>35</v>
      </c>
      <c r="O141" s="13" t="s">
        <v>35</v>
      </c>
      <c r="P141" s="13" t="s">
        <v>35</v>
      </c>
      <c r="Q141" s="13" t="s">
        <v>35</v>
      </c>
      <c r="R141" s="13" t="s">
        <v>35</v>
      </c>
      <c r="S141" s="13" t="s">
        <v>35</v>
      </c>
      <c r="T141" s="13" t="s">
        <v>35</v>
      </c>
    </row>
    <row r="142" spans="1:20" hidden="1">
      <c r="A142" s="9" t="str">
        <f t="shared" ref="A142:A148" si="11">CONCATENATE($A$141,".",B142)</f>
        <v>2.1.11.1</v>
      </c>
      <c r="B142" s="9">
        <f t="shared" ref="B142:B148" si="12">IF(B141=" ",1,B141+1)</f>
        <v>1</v>
      </c>
      <c r="C142" s="10" t="s">
        <v>198</v>
      </c>
      <c r="D142" s="11" t="s">
        <v>119</v>
      </c>
      <c r="E142" s="11" t="s">
        <v>29</v>
      </c>
      <c r="F142" s="15" t="str">
        <f>IF(Tabla15[[#This Row],[Columna1]]="","actividad","subactividad")</f>
        <v>subactividad</v>
      </c>
      <c r="G142" s="12"/>
      <c r="H142" s="19">
        <f t="shared" si="8"/>
        <v>46003</v>
      </c>
      <c r="I142" s="19">
        <f>IF(Tabla15[[#This Row],[Duracion ideal (dia)]]="",I141,Tabla15[[#This Row],[Inicio ideal]]+Tabla15[[#This Row],[Duracion ideal (dia)]])</f>
        <v>46003</v>
      </c>
      <c r="J142" s="12"/>
      <c r="K142" s="19">
        <f>IF(Tabla15[[#This Row],[Duracion Real (dia)]]="",K141,L141)</f>
        <v>46010</v>
      </c>
      <c r="L142" s="19">
        <f>IF(Tabla15[[#This Row],[Duracion Real (dia)]]="",L141,Tabla15[[#This Row],[Inicio Real]]+Tabla15[[#This Row],[Duracion Real (dia)]])</f>
        <v>46016</v>
      </c>
      <c r="M142" s="12"/>
      <c r="N142" s="19" t="s">
        <v>35</v>
      </c>
      <c r="O142" s="13" t="s">
        <v>35</v>
      </c>
      <c r="P142" s="13" t="s">
        <v>35</v>
      </c>
      <c r="Q142" s="13" t="s">
        <v>35</v>
      </c>
      <c r="R142" s="13" t="s">
        <v>35</v>
      </c>
      <c r="S142" s="13" t="s">
        <v>35</v>
      </c>
      <c r="T142" s="13" t="s">
        <v>35</v>
      </c>
    </row>
    <row r="143" spans="1:20" hidden="1">
      <c r="A143" s="9" t="str">
        <f t="shared" si="11"/>
        <v>2.1.11.2</v>
      </c>
      <c r="B143" s="9">
        <f t="shared" si="12"/>
        <v>2</v>
      </c>
      <c r="C143" s="20" t="s">
        <v>199</v>
      </c>
      <c r="D143" s="15" t="s">
        <v>119</v>
      </c>
      <c r="E143" s="15" t="s">
        <v>29</v>
      </c>
      <c r="F143" s="15" t="str">
        <f>IF(Tabla15[[#This Row],[Columna1]]="","actividad","subactividad")</f>
        <v>subactividad</v>
      </c>
      <c r="G143" s="16"/>
      <c r="H143" s="19">
        <f t="shared" si="8"/>
        <v>46003</v>
      </c>
      <c r="I143" s="19">
        <f>IF(Tabla15[[#This Row],[Duracion ideal (dia)]]="",I142,Tabla15[[#This Row],[Inicio ideal]]+Tabla15[[#This Row],[Duracion ideal (dia)]])</f>
        <v>46003</v>
      </c>
      <c r="J143" s="16"/>
      <c r="K143" s="19">
        <f>IF(Tabla15[[#This Row],[Duracion Real (dia)]]="",K142,L142)</f>
        <v>46010</v>
      </c>
      <c r="L143" s="19">
        <f>IF(Tabla15[[#This Row],[Duracion Real (dia)]]="",L142,Tabla15[[#This Row],[Inicio Real]]+Tabla15[[#This Row],[Duracion Real (dia)]])</f>
        <v>46016</v>
      </c>
      <c r="M143" s="16"/>
      <c r="N143" s="19" t="s">
        <v>35</v>
      </c>
      <c r="O143" s="13" t="s">
        <v>35</v>
      </c>
      <c r="P143" s="13" t="s">
        <v>35</v>
      </c>
      <c r="Q143" s="13" t="s">
        <v>35</v>
      </c>
      <c r="R143" s="13" t="s">
        <v>35</v>
      </c>
      <c r="S143" s="13" t="s">
        <v>35</v>
      </c>
      <c r="T143" s="13" t="s">
        <v>35</v>
      </c>
    </row>
    <row r="144" spans="1:20" hidden="1">
      <c r="A144" s="9" t="str">
        <f t="shared" si="11"/>
        <v>2.1.11.3</v>
      </c>
      <c r="B144" s="9">
        <f t="shared" si="12"/>
        <v>3</v>
      </c>
      <c r="C144" s="10" t="s">
        <v>200</v>
      </c>
      <c r="D144" s="11" t="s">
        <v>119</v>
      </c>
      <c r="E144" s="11" t="s">
        <v>29</v>
      </c>
      <c r="F144" s="15" t="str">
        <f>IF(Tabla15[[#This Row],[Columna1]]="","actividad","subactividad")</f>
        <v>subactividad</v>
      </c>
      <c r="G144" s="12"/>
      <c r="H144" s="19">
        <f t="shared" si="8"/>
        <v>46003</v>
      </c>
      <c r="I144" s="19">
        <f>IF(Tabla15[[#This Row],[Duracion ideal (dia)]]="",I143,Tabla15[[#This Row],[Inicio ideal]]+Tabla15[[#This Row],[Duracion ideal (dia)]])</f>
        <v>46003</v>
      </c>
      <c r="J144" s="12"/>
      <c r="K144" s="19">
        <f>IF(Tabla15[[#This Row],[Duracion Real (dia)]]="",K143,L143)</f>
        <v>46010</v>
      </c>
      <c r="L144" s="19">
        <f>IF(Tabla15[[#This Row],[Duracion Real (dia)]]="",L143,Tabla15[[#This Row],[Inicio Real]]+Tabla15[[#This Row],[Duracion Real (dia)]])</f>
        <v>46016</v>
      </c>
      <c r="M144" s="12"/>
      <c r="N144" s="19" t="s">
        <v>35</v>
      </c>
      <c r="O144" s="13" t="s">
        <v>35</v>
      </c>
      <c r="P144" s="13" t="s">
        <v>35</v>
      </c>
      <c r="Q144" s="13" t="s">
        <v>35</v>
      </c>
      <c r="R144" s="13" t="s">
        <v>35</v>
      </c>
      <c r="S144" s="13" t="s">
        <v>35</v>
      </c>
      <c r="T144" s="13" t="s">
        <v>35</v>
      </c>
    </row>
    <row r="145" spans="1:20" hidden="1">
      <c r="A145" s="9" t="str">
        <f t="shared" si="11"/>
        <v>2.1.11.4</v>
      </c>
      <c r="B145" s="9">
        <f t="shared" si="12"/>
        <v>4</v>
      </c>
      <c r="C145" s="20" t="s">
        <v>201</v>
      </c>
      <c r="D145" s="15" t="s">
        <v>119</v>
      </c>
      <c r="E145" s="15" t="s">
        <v>29</v>
      </c>
      <c r="F145" s="15" t="str">
        <f>IF(Tabla15[[#This Row],[Columna1]]="","actividad","subactividad")</f>
        <v>subactividad</v>
      </c>
      <c r="G145" s="16"/>
      <c r="H145" s="19">
        <f t="shared" si="8"/>
        <v>46003</v>
      </c>
      <c r="I145" s="19">
        <f>IF(Tabla15[[#This Row],[Duracion ideal (dia)]]="",I144,Tabla15[[#This Row],[Inicio ideal]]+Tabla15[[#This Row],[Duracion ideal (dia)]])</f>
        <v>46003</v>
      </c>
      <c r="J145" s="16"/>
      <c r="K145" s="19">
        <f>IF(Tabla15[[#This Row],[Duracion Real (dia)]]="",K144,L144)</f>
        <v>46010</v>
      </c>
      <c r="L145" s="19">
        <f>IF(Tabla15[[#This Row],[Duracion Real (dia)]]="",L144,Tabla15[[#This Row],[Inicio Real]]+Tabla15[[#This Row],[Duracion Real (dia)]])</f>
        <v>46016</v>
      </c>
      <c r="M145" s="16"/>
      <c r="N145" s="19" t="s">
        <v>35</v>
      </c>
      <c r="O145" s="13" t="s">
        <v>35</v>
      </c>
      <c r="P145" s="13" t="s">
        <v>35</v>
      </c>
      <c r="Q145" s="13" t="s">
        <v>35</v>
      </c>
      <c r="R145" s="13" t="s">
        <v>35</v>
      </c>
      <c r="S145" s="13" t="s">
        <v>35</v>
      </c>
      <c r="T145" s="13" t="s">
        <v>35</v>
      </c>
    </row>
    <row r="146" spans="1:20" hidden="1">
      <c r="A146" s="9" t="str">
        <f t="shared" si="11"/>
        <v>2.1.11.5</v>
      </c>
      <c r="B146" s="9">
        <f t="shared" si="12"/>
        <v>5</v>
      </c>
      <c r="C146" s="10" t="s">
        <v>202</v>
      </c>
      <c r="D146" s="11" t="s">
        <v>119</v>
      </c>
      <c r="E146" s="11" t="s">
        <v>29</v>
      </c>
      <c r="F146" s="15" t="str">
        <f>IF(Tabla15[[#This Row],[Columna1]]="","actividad","subactividad")</f>
        <v>subactividad</v>
      </c>
      <c r="G146" s="12"/>
      <c r="H146" s="19">
        <f t="shared" si="8"/>
        <v>46003</v>
      </c>
      <c r="I146" s="19">
        <f>IF(Tabla15[[#This Row],[Duracion ideal (dia)]]="",I145,Tabla15[[#This Row],[Inicio ideal]]+Tabla15[[#This Row],[Duracion ideal (dia)]])</f>
        <v>46003</v>
      </c>
      <c r="J146" s="12"/>
      <c r="K146" s="19">
        <f>IF(Tabla15[[#This Row],[Duracion Real (dia)]]="",K145,L145)</f>
        <v>46010</v>
      </c>
      <c r="L146" s="19">
        <f>IF(Tabla15[[#This Row],[Duracion Real (dia)]]="",L145,Tabla15[[#This Row],[Inicio Real]]+Tabla15[[#This Row],[Duracion Real (dia)]])</f>
        <v>46016</v>
      </c>
      <c r="M146" s="12"/>
      <c r="N146" s="19" t="s">
        <v>35</v>
      </c>
      <c r="O146" s="13" t="s">
        <v>35</v>
      </c>
      <c r="P146" s="13" t="s">
        <v>35</v>
      </c>
      <c r="Q146" s="13" t="s">
        <v>35</v>
      </c>
      <c r="R146" s="13" t="s">
        <v>35</v>
      </c>
      <c r="S146" s="13" t="s">
        <v>35</v>
      </c>
      <c r="T146" s="13" t="s">
        <v>35</v>
      </c>
    </row>
    <row r="147" spans="1:20" hidden="1">
      <c r="A147" s="9" t="str">
        <f t="shared" si="11"/>
        <v>2.1.11.6</v>
      </c>
      <c r="B147" s="9">
        <f t="shared" si="12"/>
        <v>6</v>
      </c>
      <c r="C147" s="20" t="s">
        <v>203</v>
      </c>
      <c r="D147" s="15" t="s">
        <v>119</v>
      </c>
      <c r="E147" s="15" t="s">
        <v>29</v>
      </c>
      <c r="F147" s="15" t="str">
        <f>IF(Tabla15[[#This Row],[Columna1]]="","actividad","subactividad")</f>
        <v>subactividad</v>
      </c>
      <c r="G147" s="16"/>
      <c r="H147" s="19">
        <f t="shared" si="8"/>
        <v>46003</v>
      </c>
      <c r="I147" s="19">
        <f>IF(Tabla15[[#This Row],[Duracion ideal (dia)]]="",I146,Tabla15[[#This Row],[Inicio ideal]]+Tabla15[[#This Row],[Duracion ideal (dia)]])</f>
        <v>46003</v>
      </c>
      <c r="J147" s="16"/>
      <c r="K147" s="19">
        <f>IF(Tabla15[[#This Row],[Duracion Real (dia)]]="",K146,L146)</f>
        <v>46010</v>
      </c>
      <c r="L147" s="19">
        <f>IF(Tabla15[[#This Row],[Duracion Real (dia)]]="",L146,Tabla15[[#This Row],[Inicio Real]]+Tabla15[[#This Row],[Duracion Real (dia)]])</f>
        <v>46016</v>
      </c>
      <c r="M147" s="16"/>
      <c r="N147" s="19" t="s">
        <v>35</v>
      </c>
      <c r="O147" s="13" t="s">
        <v>35</v>
      </c>
      <c r="P147" s="13" t="s">
        <v>35</v>
      </c>
      <c r="Q147" s="13" t="s">
        <v>35</v>
      </c>
      <c r="R147" s="13" t="s">
        <v>35</v>
      </c>
      <c r="S147" s="13" t="s">
        <v>35</v>
      </c>
      <c r="T147" s="13" t="s">
        <v>35</v>
      </c>
    </row>
    <row r="148" spans="1:20" hidden="1">
      <c r="A148" s="9" t="str">
        <f t="shared" si="11"/>
        <v>2.1.11.7</v>
      </c>
      <c r="B148" s="9">
        <f t="shared" si="12"/>
        <v>7</v>
      </c>
      <c r="C148" s="10" t="s">
        <v>204</v>
      </c>
      <c r="D148" s="11" t="s">
        <v>119</v>
      </c>
      <c r="E148" s="11" t="s">
        <v>29</v>
      </c>
      <c r="F148" s="15" t="str">
        <f>IF(Tabla15[[#This Row],[Columna1]]="","actividad","subactividad")</f>
        <v>subactividad</v>
      </c>
      <c r="G148" s="12"/>
      <c r="H148" s="19">
        <f t="shared" si="8"/>
        <v>46003</v>
      </c>
      <c r="I148" s="19">
        <f>IF(Tabla15[[#This Row],[Duracion ideal (dia)]]="",I147,Tabla15[[#This Row],[Inicio ideal]]+Tabla15[[#This Row],[Duracion ideal (dia)]])</f>
        <v>46003</v>
      </c>
      <c r="J148" s="12"/>
      <c r="K148" s="19">
        <f>IF(Tabla15[[#This Row],[Duracion Real (dia)]]="",K147,L147)</f>
        <v>46010</v>
      </c>
      <c r="L148" s="19">
        <f>IF(Tabla15[[#This Row],[Duracion Real (dia)]]="",L147,Tabla15[[#This Row],[Inicio Real]]+Tabla15[[#This Row],[Duracion Real (dia)]])</f>
        <v>46016</v>
      </c>
      <c r="M148" s="12"/>
      <c r="N148" s="19" t="s">
        <v>35</v>
      </c>
      <c r="O148" s="13" t="s">
        <v>35</v>
      </c>
      <c r="P148" s="13" t="s">
        <v>35</v>
      </c>
      <c r="Q148" s="13" t="s">
        <v>35</v>
      </c>
      <c r="R148" s="13" t="s">
        <v>35</v>
      </c>
      <c r="S148" s="13" t="s">
        <v>35</v>
      </c>
      <c r="T148" s="13" t="s">
        <v>35</v>
      </c>
    </row>
    <row r="149" spans="1:20">
      <c r="A149" s="9" t="s">
        <v>205</v>
      </c>
      <c r="B149" s="9"/>
      <c r="C149" s="25" t="s">
        <v>206</v>
      </c>
      <c r="D149" s="15" t="s">
        <v>119</v>
      </c>
      <c r="E149" s="15" t="s">
        <v>29</v>
      </c>
      <c r="F149" s="15" t="str">
        <f>IF(Tabla15[[#This Row],[Columna1]]="","actividad","subactividad")</f>
        <v>actividad</v>
      </c>
      <c r="G149" s="16" t="s">
        <v>197</v>
      </c>
      <c r="H149" s="19">
        <f t="shared" si="8"/>
        <v>46003</v>
      </c>
      <c r="I149" s="19">
        <f>IF(Tabla15[[#This Row],[Duracion ideal (dia)]]="",I148,Tabla15[[#This Row],[Inicio ideal]]+Tabla15[[#This Row],[Duracion ideal (dia)]])</f>
        <v>46003</v>
      </c>
      <c r="J149" s="16"/>
      <c r="K149" s="19">
        <f>IF(Tabla15[[#This Row],[Duracion Real (dia)]]="",K148,L148)</f>
        <v>46010</v>
      </c>
      <c r="L149" s="19">
        <f>IF(Tabla15[[#This Row],[Duracion Real (dia)]]="",L148,Tabla15[[#This Row],[Inicio Real]]+Tabla15[[#This Row],[Duracion Real (dia)]])</f>
        <v>46016</v>
      </c>
      <c r="M149" s="16"/>
      <c r="N149" s="19" t="s">
        <v>35</v>
      </c>
      <c r="O149" s="13" t="s">
        <v>35</v>
      </c>
      <c r="P149" s="13" t="s">
        <v>35</v>
      </c>
      <c r="Q149" s="13" t="s">
        <v>35</v>
      </c>
      <c r="R149" s="13" t="s">
        <v>35</v>
      </c>
      <c r="S149" s="13" t="s">
        <v>35</v>
      </c>
      <c r="T149" s="13" t="s">
        <v>35</v>
      </c>
    </row>
    <row r="150" spans="1:20">
      <c r="A150" s="9" t="s">
        <v>207</v>
      </c>
      <c r="B150" s="9"/>
      <c r="C150" s="22" t="s">
        <v>208</v>
      </c>
      <c r="D150" s="11" t="s">
        <v>119</v>
      </c>
      <c r="E150" s="11" t="s">
        <v>29</v>
      </c>
      <c r="F150" s="15" t="str">
        <f>IF(Tabla15[[#This Row],[Columna1]]="","actividad","subactividad")</f>
        <v>actividad</v>
      </c>
      <c r="G150" s="12" t="s">
        <v>209</v>
      </c>
      <c r="H150" s="19">
        <f t="shared" si="8"/>
        <v>46003</v>
      </c>
      <c r="I150" s="19">
        <f>IF(Tabla15[[#This Row],[Duracion ideal (dia)]]="",I149,Tabla15[[#This Row],[Inicio ideal]]+Tabla15[[#This Row],[Duracion ideal (dia)]])</f>
        <v>46011</v>
      </c>
      <c r="J150" s="12">
        <v>8</v>
      </c>
      <c r="K150" s="19">
        <f>IF(Tabla15[[#This Row],[Duracion Real (dia)]]="",K149,L149)</f>
        <v>46016</v>
      </c>
      <c r="L150" s="19">
        <f>IF(Tabla15[[#This Row],[Duracion Real (dia)]]="",L149,Tabla15[[#This Row],[Inicio Real]]+Tabla15[[#This Row],[Duracion Real (dia)]])</f>
        <v>46024</v>
      </c>
      <c r="M150" s="12">
        <v>8</v>
      </c>
      <c r="N150" s="19" t="s">
        <v>69</v>
      </c>
      <c r="O150" s="13">
        <v>170197.05</v>
      </c>
      <c r="P150" s="13">
        <v>12923.04</v>
      </c>
      <c r="Q150" s="13">
        <v>183120.09</v>
      </c>
      <c r="R150" s="13">
        <v>183120.09</v>
      </c>
      <c r="S150" s="13">
        <v>221256.16499999998</v>
      </c>
      <c r="T150" s="13">
        <v>221256.16499999998</v>
      </c>
    </row>
    <row r="151" spans="1:20" hidden="1">
      <c r="A151" s="9" t="str">
        <f t="shared" ref="A151:A157" si="13">CONCATENATE($A$150,".",B151)</f>
        <v>2.1.12.1.1</v>
      </c>
      <c r="B151" s="9">
        <f t="shared" ref="B151:B157" si="14">IF(B150=" ",1,B150+1)</f>
        <v>1</v>
      </c>
      <c r="C151" s="20" t="s">
        <v>210</v>
      </c>
      <c r="D151" s="15" t="s">
        <v>119</v>
      </c>
      <c r="E151" s="15" t="s">
        <v>29</v>
      </c>
      <c r="F151" s="15" t="str">
        <f>IF(Tabla15[[#This Row],[Columna1]]="","actividad","subactividad")</f>
        <v>subactividad</v>
      </c>
      <c r="G151" s="16"/>
      <c r="H151" s="19">
        <f t="shared" si="8"/>
        <v>46011</v>
      </c>
      <c r="I151" s="19">
        <f>IF(Tabla15[[#This Row],[Duracion ideal (dia)]]="",I150,Tabla15[[#This Row],[Inicio ideal]]+Tabla15[[#This Row],[Duracion ideal (dia)]])</f>
        <v>46011</v>
      </c>
      <c r="J151" s="16"/>
      <c r="K151" s="19">
        <f>IF(Tabla15[[#This Row],[Duracion Real (dia)]]="",K150,L150)</f>
        <v>46016</v>
      </c>
      <c r="L151" s="19">
        <f>IF(Tabla15[[#This Row],[Duracion Real (dia)]]="",L150,Tabla15[[#This Row],[Inicio Real]]+Tabla15[[#This Row],[Duracion Real (dia)]])</f>
        <v>46024</v>
      </c>
      <c r="M151" s="16"/>
      <c r="N151" s="19" t="s">
        <v>35</v>
      </c>
      <c r="O151" s="13" t="s">
        <v>35</v>
      </c>
      <c r="P151" s="13" t="s">
        <v>35</v>
      </c>
      <c r="Q151" s="13" t="s">
        <v>35</v>
      </c>
      <c r="R151" s="13" t="s">
        <v>35</v>
      </c>
      <c r="S151" s="13" t="s">
        <v>35</v>
      </c>
      <c r="T151" s="13" t="s">
        <v>35</v>
      </c>
    </row>
    <row r="152" spans="1:20" hidden="1">
      <c r="A152" s="9" t="str">
        <f t="shared" si="13"/>
        <v>2.1.12.1.2</v>
      </c>
      <c r="B152" s="9">
        <f t="shared" si="14"/>
        <v>2</v>
      </c>
      <c r="C152" s="10" t="s">
        <v>211</v>
      </c>
      <c r="D152" s="11" t="s">
        <v>119</v>
      </c>
      <c r="E152" s="11" t="s">
        <v>29</v>
      </c>
      <c r="F152" s="15" t="str">
        <f>IF(Tabla15[[#This Row],[Columna1]]="","actividad","subactividad")</f>
        <v>subactividad</v>
      </c>
      <c r="G152" s="12"/>
      <c r="H152" s="19">
        <f t="shared" si="8"/>
        <v>46011</v>
      </c>
      <c r="I152" s="19">
        <f>IF(Tabla15[[#This Row],[Duracion ideal (dia)]]="",I151,Tabla15[[#This Row],[Inicio ideal]]+Tabla15[[#This Row],[Duracion ideal (dia)]])</f>
        <v>46011</v>
      </c>
      <c r="J152" s="12"/>
      <c r="K152" s="19">
        <f>IF(Tabla15[[#This Row],[Duracion Real (dia)]]="",K151,L151)</f>
        <v>46016</v>
      </c>
      <c r="L152" s="19">
        <f>IF(Tabla15[[#This Row],[Duracion Real (dia)]]="",L151,Tabla15[[#This Row],[Inicio Real]]+Tabla15[[#This Row],[Duracion Real (dia)]])</f>
        <v>46024</v>
      </c>
      <c r="M152" s="12"/>
      <c r="N152" s="19" t="s">
        <v>35</v>
      </c>
      <c r="O152" s="13" t="s">
        <v>35</v>
      </c>
      <c r="P152" s="13" t="s">
        <v>35</v>
      </c>
      <c r="Q152" s="13" t="s">
        <v>35</v>
      </c>
      <c r="R152" s="13" t="s">
        <v>35</v>
      </c>
      <c r="S152" s="13" t="s">
        <v>35</v>
      </c>
      <c r="T152" s="13" t="s">
        <v>35</v>
      </c>
    </row>
    <row r="153" spans="1:20" hidden="1">
      <c r="A153" s="9" t="str">
        <f t="shared" si="13"/>
        <v>2.1.12.1.3</v>
      </c>
      <c r="B153" s="9">
        <f t="shared" si="14"/>
        <v>3</v>
      </c>
      <c r="C153" s="20" t="s">
        <v>212</v>
      </c>
      <c r="D153" s="15" t="s">
        <v>119</v>
      </c>
      <c r="E153" s="15" t="s">
        <v>29</v>
      </c>
      <c r="F153" s="15" t="str">
        <f>IF(Tabla15[[#This Row],[Columna1]]="","actividad","subactividad")</f>
        <v>subactividad</v>
      </c>
      <c r="G153" s="16"/>
      <c r="H153" s="19">
        <f t="shared" si="8"/>
        <v>46011</v>
      </c>
      <c r="I153" s="19">
        <f>IF(Tabla15[[#This Row],[Duracion ideal (dia)]]="",I152,Tabla15[[#This Row],[Inicio ideal]]+Tabla15[[#This Row],[Duracion ideal (dia)]])</f>
        <v>46011</v>
      </c>
      <c r="J153" s="16"/>
      <c r="K153" s="19">
        <f>IF(Tabla15[[#This Row],[Duracion Real (dia)]]="",K152,L152)</f>
        <v>46016</v>
      </c>
      <c r="L153" s="19">
        <f>IF(Tabla15[[#This Row],[Duracion Real (dia)]]="",L152,Tabla15[[#This Row],[Inicio Real]]+Tabla15[[#This Row],[Duracion Real (dia)]])</f>
        <v>46024</v>
      </c>
      <c r="M153" s="16"/>
      <c r="N153" s="19" t="s">
        <v>35</v>
      </c>
      <c r="O153" s="13" t="s">
        <v>35</v>
      </c>
      <c r="P153" s="13" t="s">
        <v>35</v>
      </c>
      <c r="Q153" s="13" t="s">
        <v>35</v>
      </c>
      <c r="R153" s="13" t="s">
        <v>35</v>
      </c>
      <c r="S153" s="13" t="s">
        <v>35</v>
      </c>
      <c r="T153" s="13" t="s">
        <v>35</v>
      </c>
    </row>
    <row r="154" spans="1:20" hidden="1">
      <c r="A154" s="9" t="str">
        <f t="shared" si="13"/>
        <v>2.1.12.1.4</v>
      </c>
      <c r="B154" s="9">
        <f t="shared" si="14"/>
        <v>4</v>
      </c>
      <c r="C154" s="10" t="s">
        <v>213</v>
      </c>
      <c r="D154" s="11" t="s">
        <v>119</v>
      </c>
      <c r="E154" s="11" t="s">
        <v>29</v>
      </c>
      <c r="F154" s="15" t="str">
        <f>IF(Tabla15[[#This Row],[Columna1]]="","actividad","subactividad")</f>
        <v>subactividad</v>
      </c>
      <c r="G154" s="12"/>
      <c r="H154" s="19">
        <f t="shared" si="8"/>
        <v>46011</v>
      </c>
      <c r="I154" s="19">
        <f>IF(Tabla15[[#This Row],[Duracion ideal (dia)]]="",I153,Tabla15[[#This Row],[Inicio ideal]]+Tabla15[[#This Row],[Duracion ideal (dia)]])</f>
        <v>46011</v>
      </c>
      <c r="J154" s="12"/>
      <c r="K154" s="19">
        <f>IF(Tabla15[[#This Row],[Duracion Real (dia)]]="",K153,L153)</f>
        <v>46016</v>
      </c>
      <c r="L154" s="19">
        <f>IF(Tabla15[[#This Row],[Duracion Real (dia)]]="",L153,Tabla15[[#This Row],[Inicio Real]]+Tabla15[[#This Row],[Duracion Real (dia)]])</f>
        <v>46024</v>
      </c>
      <c r="M154" s="12"/>
      <c r="N154" s="19" t="s">
        <v>35</v>
      </c>
      <c r="O154" s="13" t="s">
        <v>35</v>
      </c>
      <c r="P154" s="13" t="s">
        <v>35</v>
      </c>
      <c r="Q154" s="13" t="s">
        <v>35</v>
      </c>
      <c r="R154" s="13" t="s">
        <v>35</v>
      </c>
      <c r="S154" s="13" t="s">
        <v>35</v>
      </c>
      <c r="T154" s="13" t="s">
        <v>35</v>
      </c>
    </row>
    <row r="155" spans="1:20" hidden="1">
      <c r="A155" s="9" t="str">
        <f t="shared" si="13"/>
        <v>2.1.12.1.5</v>
      </c>
      <c r="B155" s="9">
        <f t="shared" si="14"/>
        <v>5</v>
      </c>
      <c r="C155" s="20" t="s">
        <v>214</v>
      </c>
      <c r="D155" s="15" t="s">
        <v>119</v>
      </c>
      <c r="E155" s="15" t="s">
        <v>29</v>
      </c>
      <c r="F155" s="15" t="str">
        <f>IF(Tabla15[[#This Row],[Columna1]]="","actividad","subactividad")</f>
        <v>subactividad</v>
      </c>
      <c r="G155" s="16"/>
      <c r="H155" s="19">
        <f t="shared" si="8"/>
        <v>46011</v>
      </c>
      <c r="I155" s="19">
        <f>IF(Tabla15[[#This Row],[Duracion ideal (dia)]]="",I154,Tabla15[[#This Row],[Inicio ideal]]+Tabla15[[#This Row],[Duracion ideal (dia)]])</f>
        <v>46011</v>
      </c>
      <c r="J155" s="16"/>
      <c r="K155" s="19">
        <f>IF(Tabla15[[#This Row],[Duracion Real (dia)]]="",K154,L154)</f>
        <v>46016</v>
      </c>
      <c r="L155" s="19">
        <f>IF(Tabla15[[#This Row],[Duracion Real (dia)]]="",L154,Tabla15[[#This Row],[Inicio Real]]+Tabla15[[#This Row],[Duracion Real (dia)]])</f>
        <v>46024</v>
      </c>
      <c r="M155" s="16"/>
      <c r="N155" s="19" t="s">
        <v>35</v>
      </c>
      <c r="O155" s="13" t="s">
        <v>35</v>
      </c>
      <c r="P155" s="13" t="s">
        <v>35</v>
      </c>
      <c r="Q155" s="13" t="s">
        <v>35</v>
      </c>
      <c r="R155" s="13" t="s">
        <v>35</v>
      </c>
      <c r="S155" s="13" t="s">
        <v>35</v>
      </c>
      <c r="T155" s="13" t="s">
        <v>35</v>
      </c>
    </row>
    <row r="156" spans="1:20" hidden="1">
      <c r="A156" s="9" t="str">
        <f t="shared" si="13"/>
        <v>2.1.12.1.6</v>
      </c>
      <c r="B156" s="9">
        <f t="shared" si="14"/>
        <v>6</v>
      </c>
      <c r="C156" s="10" t="s">
        <v>215</v>
      </c>
      <c r="D156" s="11" t="s">
        <v>119</v>
      </c>
      <c r="E156" s="11" t="s">
        <v>29</v>
      </c>
      <c r="F156" s="15" t="str">
        <f>IF(Tabla15[[#This Row],[Columna1]]="","actividad","subactividad")</f>
        <v>subactividad</v>
      </c>
      <c r="G156" s="12"/>
      <c r="H156" s="19">
        <f t="shared" si="8"/>
        <v>46011</v>
      </c>
      <c r="I156" s="19">
        <f>IF(Tabla15[[#This Row],[Duracion ideal (dia)]]="",I155,Tabla15[[#This Row],[Inicio ideal]]+Tabla15[[#This Row],[Duracion ideal (dia)]])</f>
        <v>46011</v>
      </c>
      <c r="J156" s="12"/>
      <c r="K156" s="19">
        <f>IF(Tabla15[[#This Row],[Duracion Real (dia)]]="",K155,L155)</f>
        <v>46016</v>
      </c>
      <c r="L156" s="19">
        <f>IF(Tabla15[[#This Row],[Duracion Real (dia)]]="",L155,Tabla15[[#This Row],[Inicio Real]]+Tabla15[[#This Row],[Duracion Real (dia)]])</f>
        <v>46024</v>
      </c>
      <c r="M156" s="12"/>
      <c r="N156" s="19" t="s">
        <v>35</v>
      </c>
      <c r="O156" s="13" t="s">
        <v>35</v>
      </c>
      <c r="P156" s="13" t="s">
        <v>35</v>
      </c>
      <c r="Q156" s="13" t="s">
        <v>35</v>
      </c>
      <c r="R156" s="13" t="s">
        <v>35</v>
      </c>
      <c r="S156" s="13" t="s">
        <v>35</v>
      </c>
      <c r="T156" s="13" t="s">
        <v>35</v>
      </c>
    </row>
    <row r="157" spans="1:20" hidden="1">
      <c r="A157" s="9" t="str">
        <f t="shared" si="13"/>
        <v>2.1.12.1.7</v>
      </c>
      <c r="B157" s="9">
        <f t="shared" si="14"/>
        <v>7</v>
      </c>
      <c r="C157" s="20" t="s">
        <v>216</v>
      </c>
      <c r="D157" s="15" t="s">
        <v>119</v>
      </c>
      <c r="E157" s="15" t="s">
        <v>29</v>
      </c>
      <c r="F157" s="15" t="str">
        <f>IF(Tabla15[[#This Row],[Columna1]]="","actividad","subactividad")</f>
        <v>subactividad</v>
      </c>
      <c r="G157" s="16"/>
      <c r="H157" s="19">
        <f t="shared" si="8"/>
        <v>46011</v>
      </c>
      <c r="I157" s="19">
        <f>IF(Tabla15[[#This Row],[Duracion ideal (dia)]]="",I156,Tabla15[[#This Row],[Inicio ideal]]+Tabla15[[#This Row],[Duracion ideal (dia)]])</f>
        <v>46011</v>
      </c>
      <c r="J157" s="16"/>
      <c r="K157" s="19">
        <f>IF(Tabla15[[#This Row],[Duracion Real (dia)]]="",K156,L156)</f>
        <v>46016</v>
      </c>
      <c r="L157" s="19">
        <f>IF(Tabla15[[#This Row],[Duracion Real (dia)]]="",L156,Tabla15[[#This Row],[Inicio Real]]+Tabla15[[#This Row],[Duracion Real (dia)]])</f>
        <v>46024</v>
      </c>
      <c r="M157" s="16"/>
      <c r="N157" s="19" t="s">
        <v>35</v>
      </c>
      <c r="O157" s="13" t="s">
        <v>35</v>
      </c>
      <c r="P157" s="13" t="s">
        <v>35</v>
      </c>
      <c r="Q157" s="13" t="s">
        <v>35</v>
      </c>
      <c r="R157" s="13" t="s">
        <v>35</v>
      </c>
      <c r="S157" s="13" t="s">
        <v>35</v>
      </c>
      <c r="T157" s="13" t="s">
        <v>35</v>
      </c>
    </row>
    <row r="158" spans="1:20">
      <c r="A158" s="9" t="s">
        <v>217</v>
      </c>
      <c r="B158" s="9"/>
      <c r="C158" s="22" t="s">
        <v>218</v>
      </c>
      <c r="D158" s="11" t="s">
        <v>119</v>
      </c>
      <c r="E158" s="11" t="s">
        <v>29</v>
      </c>
      <c r="F158" s="15" t="str">
        <f>IF(Tabla15[[#This Row],[Columna1]]="","actividad","subactividad")</f>
        <v>actividad</v>
      </c>
      <c r="G158" s="12" t="s">
        <v>209</v>
      </c>
      <c r="H158" s="19">
        <f t="shared" si="8"/>
        <v>46011</v>
      </c>
      <c r="I158" s="19">
        <f>IF(Tabla15[[#This Row],[Duracion ideal (dia)]]="",I157,Tabla15[[#This Row],[Inicio ideal]]+Tabla15[[#This Row],[Duracion ideal (dia)]])</f>
        <v>46016</v>
      </c>
      <c r="J158" s="12">
        <v>5</v>
      </c>
      <c r="K158" s="19">
        <f>IF(Tabla15[[#This Row],[Duracion Real (dia)]]="",K157,L157)</f>
        <v>46024</v>
      </c>
      <c r="L158" s="19">
        <f>IF(Tabla15[[#This Row],[Duracion Real (dia)]]="",L157,Tabla15[[#This Row],[Inicio Real]]+Tabla15[[#This Row],[Duracion Real (dia)]])</f>
        <v>46030</v>
      </c>
      <c r="M158" s="12">
        <v>6</v>
      </c>
      <c r="N158" s="19" t="s">
        <v>88</v>
      </c>
      <c r="O158" s="13">
        <v>170197.05</v>
      </c>
      <c r="P158" s="13">
        <v>6923.0999999999995</v>
      </c>
      <c r="Q158" s="13">
        <v>177120.15</v>
      </c>
      <c r="R158" s="13">
        <v>175966.3</v>
      </c>
      <c r="S158" s="13">
        <v>221256.16499999998</v>
      </c>
      <c r="T158" s="13">
        <v>221256.16499999998</v>
      </c>
    </row>
    <row r="159" spans="1:20" hidden="1">
      <c r="A159" s="9" t="str">
        <f t="shared" ref="A159:A165" si="15">CONCATENATE($A$158,".",B159)</f>
        <v>2.1.12.2.1</v>
      </c>
      <c r="B159" s="9">
        <f t="shared" ref="B159:B165" si="16">IF(B158=" ",1,B158+1)</f>
        <v>1</v>
      </c>
      <c r="C159" s="20" t="s">
        <v>219</v>
      </c>
      <c r="D159" s="15" t="s">
        <v>119</v>
      </c>
      <c r="E159" s="15" t="s">
        <v>29</v>
      </c>
      <c r="F159" s="15" t="str">
        <f>IF(Tabla15[[#This Row],[Columna1]]="","actividad","subactividad")</f>
        <v>subactividad</v>
      </c>
      <c r="G159" s="16"/>
      <c r="H159" s="19">
        <f t="shared" si="8"/>
        <v>46016</v>
      </c>
      <c r="I159" s="19">
        <f>IF(Tabla15[[#This Row],[Duracion ideal (dia)]]="",I158,Tabla15[[#This Row],[Inicio ideal]]+Tabla15[[#This Row],[Duracion ideal (dia)]])</f>
        <v>46016</v>
      </c>
      <c r="J159" s="16"/>
      <c r="K159" s="19">
        <f>IF(Tabla15[[#This Row],[Duracion Real (dia)]]="",K158,L158)</f>
        <v>46024</v>
      </c>
      <c r="L159" s="19">
        <f>IF(Tabla15[[#This Row],[Duracion Real (dia)]]="",L158,Tabla15[[#This Row],[Inicio Real]]+Tabla15[[#This Row],[Duracion Real (dia)]])</f>
        <v>46030</v>
      </c>
      <c r="M159" s="16"/>
      <c r="N159" s="19" t="s">
        <v>35</v>
      </c>
      <c r="O159" s="13" t="s">
        <v>35</v>
      </c>
      <c r="P159" s="13" t="s">
        <v>35</v>
      </c>
      <c r="Q159" s="13" t="s">
        <v>35</v>
      </c>
      <c r="R159" s="13" t="s">
        <v>35</v>
      </c>
      <c r="S159" s="13" t="s">
        <v>35</v>
      </c>
      <c r="T159" s="13" t="s">
        <v>35</v>
      </c>
    </row>
    <row r="160" spans="1:20" hidden="1">
      <c r="A160" s="9" t="str">
        <f t="shared" si="15"/>
        <v>2.1.12.2.2</v>
      </c>
      <c r="B160" s="9">
        <f t="shared" si="16"/>
        <v>2</v>
      </c>
      <c r="C160" s="10" t="s">
        <v>220</v>
      </c>
      <c r="D160" s="11" t="s">
        <v>119</v>
      </c>
      <c r="E160" s="11" t="s">
        <v>29</v>
      </c>
      <c r="F160" s="15" t="str">
        <f>IF(Tabla15[[#This Row],[Columna1]]="","actividad","subactividad")</f>
        <v>subactividad</v>
      </c>
      <c r="G160" s="12"/>
      <c r="H160" s="19">
        <f t="shared" si="8"/>
        <v>46016</v>
      </c>
      <c r="I160" s="19">
        <f>IF(Tabla15[[#This Row],[Duracion ideal (dia)]]="",I159,Tabla15[[#This Row],[Inicio ideal]]+Tabla15[[#This Row],[Duracion ideal (dia)]])</f>
        <v>46016</v>
      </c>
      <c r="J160" s="12"/>
      <c r="K160" s="19">
        <f>IF(Tabla15[[#This Row],[Duracion Real (dia)]]="",K159,L159)</f>
        <v>46024</v>
      </c>
      <c r="L160" s="19">
        <f>IF(Tabla15[[#This Row],[Duracion Real (dia)]]="",L159,Tabla15[[#This Row],[Inicio Real]]+Tabla15[[#This Row],[Duracion Real (dia)]])</f>
        <v>46030</v>
      </c>
      <c r="M160" s="12"/>
      <c r="N160" s="19" t="s">
        <v>35</v>
      </c>
      <c r="O160" s="13" t="s">
        <v>35</v>
      </c>
      <c r="P160" s="13" t="s">
        <v>35</v>
      </c>
      <c r="Q160" s="13" t="s">
        <v>35</v>
      </c>
      <c r="R160" s="13" t="s">
        <v>35</v>
      </c>
      <c r="S160" s="13" t="s">
        <v>35</v>
      </c>
      <c r="T160" s="13" t="s">
        <v>35</v>
      </c>
    </row>
    <row r="161" spans="1:20" hidden="1">
      <c r="A161" s="9" t="str">
        <f t="shared" si="15"/>
        <v>2.1.12.2.3</v>
      </c>
      <c r="B161" s="9">
        <f t="shared" si="16"/>
        <v>3</v>
      </c>
      <c r="C161" s="20" t="s">
        <v>221</v>
      </c>
      <c r="D161" s="15" t="s">
        <v>119</v>
      </c>
      <c r="E161" s="15" t="s">
        <v>29</v>
      </c>
      <c r="F161" s="15" t="str">
        <f>IF(Tabla15[[#This Row],[Columna1]]="","actividad","subactividad")</f>
        <v>subactividad</v>
      </c>
      <c r="G161" s="16"/>
      <c r="H161" s="19">
        <f t="shared" si="8"/>
        <v>46016</v>
      </c>
      <c r="I161" s="19">
        <f>IF(Tabla15[[#This Row],[Duracion ideal (dia)]]="",I160,Tabla15[[#This Row],[Inicio ideal]]+Tabla15[[#This Row],[Duracion ideal (dia)]])</f>
        <v>46016</v>
      </c>
      <c r="J161" s="16"/>
      <c r="K161" s="19">
        <f>IF(Tabla15[[#This Row],[Duracion Real (dia)]]="",K160,L160)</f>
        <v>46024</v>
      </c>
      <c r="L161" s="19">
        <f>IF(Tabla15[[#This Row],[Duracion Real (dia)]]="",L160,Tabla15[[#This Row],[Inicio Real]]+Tabla15[[#This Row],[Duracion Real (dia)]])</f>
        <v>46030</v>
      </c>
      <c r="M161" s="16"/>
      <c r="N161" s="19" t="s">
        <v>35</v>
      </c>
      <c r="O161" s="13" t="s">
        <v>35</v>
      </c>
      <c r="P161" s="13" t="s">
        <v>35</v>
      </c>
      <c r="Q161" s="13" t="s">
        <v>35</v>
      </c>
      <c r="R161" s="13" t="s">
        <v>35</v>
      </c>
      <c r="S161" s="13" t="s">
        <v>35</v>
      </c>
      <c r="T161" s="13" t="s">
        <v>35</v>
      </c>
    </row>
    <row r="162" spans="1:20" hidden="1">
      <c r="A162" s="9" t="str">
        <f t="shared" si="15"/>
        <v>2.1.12.2.4</v>
      </c>
      <c r="B162" s="9">
        <f t="shared" si="16"/>
        <v>4</v>
      </c>
      <c r="C162" s="10" t="s">
        <v>222</v>
      </c>
      <c r="D162" s="11" t="s">
        <v>119</v>
      </c>
      <c r="E162" s="11" t="s">
        <v>29</v>
      </c>
      <c r="F162" s="15" t="str">
        <f>IF(Tabla15[[#This Row],[Columna1]]="","actividad","subactividad")</f>
        <v>subactividad</v>
      </c>
      <c r="G162" s="12"/>
      <c r="H162" s="19">
        <f t="shared" si="8"/>
        <v>46016</v>
      </c>
      <c r="I162" s="19">
        <f>IF(Tabla15[[#This Row],[Duracion ideal (dia)]]="",I161,Tabla15[[#This Row],[Inicio ideal]]+Tabla15[[#This Row],[Duracion ideal (dia)]])</f>
        <v>46016</v>
      </c>
      <c r="J162" s="12"/>
      <c r="K162" s="19">
        <f>IF(Tabla15[[#This Row],[Duracion Real (dia)]]="",K161,L161)</f>
        <v>46024</v>
      </c>
      <c r="L162" s="19">
        <f>IF(Tabla15[[#This Row],[Duracion Real (dia)]]="",L161,Tabla15[[#This Row],[Inicio Real]]+Tabla15[[#This Row],[Duracion Real (dia)]])</f>
        <v>46030</v>
      </c>
      <c r="M162" s="12"/>
      <c r="N162" s="19" t="s">
        <v>35</v>
      </c>
      <c r="O162" s="13" t="s">
        <v>35</v>
      </c>
      <c r="P162" s="13" t="s">
        <v>35</v>
      </c>
      <c r="Q162" s="13" t="s">
        <v>35</v>
      </c>
      <c r="R162" s="13" t="s">
        <v>35</v>
      </c>
      <c r="S162" s="13" t="s">
        <v>35</v>
      </c>
      <c r="T162" s="13" t="s">
        <v>35</v>
      </c>
    </row>
    <row r="163" spans="1:20" hidden="1">
      <c r="A163" s="9" t="str">
        <f t="shared" si="15"/>
        <v>2.1.12.2.5</v>
      </c>
      <c r="B163" s="9">
        <f t="shared" si="16"/>
        <v>5</v>
      </c>
      <c r="C163" s="20" t="s">
        <v>223</v>
      </c>
      <c r="D163" s="15" t="s">
        <v>119</v>
      </c>
      <c r="E163" s="15" t="s">
        <v>29</v>
      </c>
      <c r="F163" s="15" t="str">
        <f>IF(Tabla15[[#This Row],[Columna1]]="","actividad","subactividad")</f>
        <v>subactividad</v>
      </c>
      <c r="G163" s="16"/>
      <c r="H163" s="19">
        <f t="shared" si="8"/>
        <v>46016</v>
      </c>
      <c r="I163" s="19">
        <f>IF(Tabla15[[#This Row],[Duracion ideal (dia)]]="",I162,Tabla15[[#This Row],[Inicio ideal]]+Tabla15[[#This Row],[Duracion ideal (dia)]])</f>
        <v>46016</v>
      </c>
      <c r="J163" s="16"/>
      <c r="K163" s="19">
        <f>IF(Tabla15[[#This Row],[Duracion Real (dia)]]="",K162,L162)</f>
        <v>46024</v>
      </c>
      <c r="L163" s="19">
        <f>IF(Tabla15[[#This Row],[Duracion Real (dia)]]="",L162,Tabla15[[#This Row],[Inicio Real]]+Tabla15[[#This Row],[Duracion Real (dia)]])</f>
        <v>46030</v>
      </c>
      <c r="M163" s="16"/>
      <c r="N163" s="19" t="s">
        <v>35</v>
      </c>
      <c r="O163" s="13" t="s">
        <v>35</v>
      </c>
      <c r="P163" s="13" t="s">
        <v>35</v>
      </c>
      <c r="Q163" s="13" t="s">
        <v>35</v>
      </c>
      <c r="R163" s="13" t="s">
        <v>35</v>
      </c>
      <c r="S163" s="13" t="s">
        <v>35</v>
      </c>
      <c r="T163" s="13" t="s">
        <v>35</v>
      </c>
    </row>
    <row r="164" spans="1:20" hidden="1">
      <c r="A164" s="9" t="str">
        <f t="shared" si="15"/>
        <v>2.1.12.2.6</v>
      </c>
      <c r="B164" s="9">
        <f t="shared" si="16"/>
        <v>6</v>
      </c>
      <c r="C164" s="10" t="s">
        <v>224</v>
      </c>
      <c r="D164" s="11" t="s">
        <v>119</v>
      </c>
      <c r="E164" s="11" t="s">
        <v>29</v>
      </c>
      <c r="F164" s="15" t="str">
        <f>IF(Tabla15[[#This Row],[Columna1]]="","actividad","subactividad")</f>
        <v>subactividad</v>
      </c>
      <c r="G164" s="12"/>
      <c r="H164" s="19">
        <f t="shared" si="8"/>
        <v>46016</v>
      </c>
      <c r="I164" s="19">
        <f>IF(Tabla15[[#This Row],[Duracion ideal (dia)]]="",I163,Tabla15[[#This Row],[Inicio ideal]]+Tabla15[[#This Row],[Duracion ideal (dia)]])</f>
        <v>46016</v>
      </c>
      <c r="J164" s="12"/>
      <c r="K164" s="19">
        <f>IF(Tabla15[[#This Row],[Duracion Real (dia)]]="",K163,L163)</f>
        <v>46024</v>
      </c>
      <c r="L164" s="19">
        <f>IF(Tabla15[[#This Row],[Duracion Real (dia)]]="",L163,Tabla15[[#This Row],[Inicio Real]]+Tabla15[[#This Row],[Duracion Real (dia)]])</f>
        <v>46030</v>
      </c>
      <c r="M164" s="12"/>
      <c r="N164" s="19" t="s">
        <v>35</v>
      </c>
      <c r="O164" s="13" t="s">
        <v>35</v>
      </c>
      <c r="P164" s="13" t="s">
        <v>35</v>
      </c>
      <c r="Q164" s="13" t="s">
        <v>35</v>
      </c>
      <c r="R164" s="13" t="s">
        <v>35</v>
      </c>
      <c r="S164" s="13" t="s">
        <v>35</v>
      </c>
      <c r="T164" s="13" t="s">
        <v>35</v>
      </c>
    </row>
    <row r="165" spans="1:20" hidden="1">
      <c r="A165" s="9" t="str">
        <f t="shared" si="15"/>
        <v>2.1.12.2.7</v>
      </c>
      <c r="B165" s="9">
        <f t="shared" si="16"/>
        <v>7</v>
      </c>
      <c r="C165" s="20" t="s">
        <v>225</v>
      </c>
      <c r="D165" s="15" t="s">
        <v>119</v>
      </c>
      <c r="E165" s="15" t="s">
        <v>29</v>
      </c>
      <c r="F165" s="15" t="str">
        <f>IF(Tabla15[[#This Row],[Columna1]]="","actividad","subactividad")</f>
        <v>subactividad</v>
      </c>
      <c r="G165" s="16"/>
      <c r="H165" s="19">
        <f t="shared" si="8"/>
        <v>46016</v>
      </c>
      <c r="I165" s="19">
        <f>IF(Tabla15[[#This Row],[Duracion ideal (dia)]]="",I164,Tabla15[[#This Row],[Inicio ideal]]+Tabla15[[#This Row],[Duracion ideal (dia)]])</f>
        <v>46016</v>
      </c>
      <c r="J165" s="16"/>
      <c r="K165" s="19">
        <f>IF(Tabla15[[#This Row],[Duracion Real (dia)]]="",K164,L164)</f>
        <v>46024</v>
      </c>
      <c r="L165" s="19">
        <f>IF(Tabla15[[#This Row],[Duracion Real (dia)]]="",L164,Tabla15[[#This Row],[Inicio Real]]+Tabla15[[#This Row],[Duracion Real (dia)]])</f>
        <v>46030</v>
      </c>
      <c r="M165" s="16"/>
      <c r="N165" s="19" t="s">
        <v>35</v>
      </c>
      <c r="O165" s="13" t="s">
        <v>35</v>
      </c>
      <c r="P165" s="13" t="s">
        <v>35</v>
      </c>
      <c r="Q165" s="13" t="s">
        <v>35</v>
      </c>
      <c r="R165" s="13" t="s">
        <v>35</v>
      </c>
      <c r="S165" s="13" t="s">
        <v>35</v>
      </c>
      <c r="T165" s="13" t="s">
        <v>35</v>
      </c>
    </row>
    <row r="166" spans="1:20">
      <c r="A166" s="9" t="s">
        <v>226</v>
      </c>
      <c r="B166" s="9"/>
      <c r="C166" s="22" t="s">
        <v>227</v>
      </c>
      <c r="D166" s="11" t="s">
        <v>119</v>
      </c>
      <c r="E166" s="11" t="s">
        <v>29</v>
      </c>
      <c r="F166" s="15" t="str">
        <f>IF(Tabla15[[#This Row],[Columna1]]="","actividad","subactividad")</f>
        <v>actividad</v>
      </c>
      <c r="G166" s="12" t="s">
        <v>209</v>
      </c>
      <c r="H166" s="19">
        <f t="shared" si="8"/>
        <v>46016</v>
      </c>
      <c r="I166" s="19">
        <f>IF(Tabla15[[#This Row],[Duracion ideal (dia)]]="",I165,Tabla15[[#This Row],[Inicio ideal]]+Tabla15[[#This Row],[Duracion ideal (dia)]])</f>
        <v>46022</v>
      </c>
      <c r="J166" s="12">
        <v>6</v>
      </c>
      <c r="K166" s="19">
        <f>IF(Tabla15[[#This Row],[Duracion Real (dia)]]="",K165,L165)</f>
        <v>46030</v>
      </c>
      <c r="L166" s="19">
        <f>IF(Tabla15[[#This Row],[Duracion Real (dia)]]="",L165,Tabla15[[#This Row],[Inicio Real]]+Tabla15[[#This Row],[Duracion Real (dia)]])</f>
        <v>46036</v>
      </c>
      <c r="M166" s="12">
        <v>6</v>
      </c>
      <c r="N166" s="19" t="s">
        <v>60</v>
      </c>
      <c r="O166" s="13">
        <v>170197.05</v>
      </c>
      <c r="P166" s="13">
        <v>11070.900000000001</v>
      </c>
      <c r="Q166" s="13">
        <v>181267.94999999998</v>
      </c>
      <c r="R166" s="13">
        <v>181267.94999999998</v>
      </c>
      <c r="S166" s="13">
        <v>221256.16499999998</v>
      </c>
      <c r="T166" s="13">
        <v>221256.16499999998</v>
      </c>
    </row>
    <row r="167" spans="1:20" hidden="1">
      <c r="A167" s="9" t="str">
        <f t="shared" ref="A167:A173" si="17">CONCATENATE($A$166,".",B167)</f>
        <v>2.1.12.3.1</v>
      </c>
      <c r="B167" s="9">
        <f t="shared" ref="B167:B173" si="18">IF(B166=" ",1,B166+1)</f>
        <v>1</v>
      </c>
      <c r="C167" s="20" t="s">
        <v>228</v>
      </c>
      <c r="D167" s="15" t="s">
        <v>119</v>
      </c>
      <c r="E167" s="15" t="s">
        <v>29</v>
      </c>
      <c r="F167" s="15" t="str">
        <f>IF(Tabla15[[#This Row],[Columna1]]="","actividad","subactividad")</f>
        <v>subactividad</v>
      </c>
      <c r="G167" s="16"/>
      <c r="H167" s="19">
        <f t="shared" si="8"/>
        <v>46022</v>
      </c>
      <c r="I167" s="19">
        <f>IF(Tabla15[[#This Row],[Duracion ideal (dia)]]="",I166,Tabla15[[#This Row],[Inicio ideal]]+Tabla15[[#This Row],[Duracion ideal (dia)]])</f>
        <v>46022</v>
      </c>
      <c r="J167" s="16"/>
      <c r="K167" s="19">
        <f>IF(Tabla15[[#This Row],[Duracion Real (dia)]]="",K166,L166)</f>
        <v>46030</v>
      </c>
      <c r="L167" s="19">
        <f>IF(Tabla15[[#This Row],[Duracion Real (dia)]]="",L166,Tabla15[[#This Row],[Inicio Real]]+Tabla15[[#This Row],[Duracion Real (dia)]])</f>
        <v>46036</v>
      </c>
      <c r="M167" s="16"/>
      <c r="N167" s="19" t="s">
        <v>35</v>
      </c>
      <c r="O167" s="13" t="s">
        <v>35</v>
      </c>
      <c r="P167" s="13" t="s">
        <v>35</v>
      </c>
      <c r="Q167" s="13" t="s">
        <v>35</v>
      </c>
      <c r="R167" s="13" t="s">
        <v>35</v>
      </c>
      <c r="S167" s="13" t="s">
        <v>35</v>
      </c>
      <c r="T167" s="13" t="s">
        <v>35</v>
      </c>
    </row>
    <row r="168" spans="1:20" hidden="1">
      <c r="A168" s="9" t="str">
        <f t="shared" si="17"/>
        <v>2.1.12.3.2</v>
      </c>
      <c r="B168" s="9">
        <f t="shared" si="18"/>
        <v>2</v>
      </c>
      <c r="C168" s="10" t="s">
        <v>229</v>
      </c>
      <c r="D168" s="11" t="s">
        <v>119</v>
      </c>
      <c r="E168" s="11" t="s">
        <v>29</v>
      </c>
      <c r="F168" s="15" t="str">
        <f>IF(Tabla15[[#This Row],[Columna1]]="","actividad","subactividad")</f>
        <v>subactividad</v>
      </c>
      <c r="G168" s="12"/>
      <c r="H168" s="19">
        <f t="shared" si="8"/>
        <v>46022</v>
      </c>
      <c r="I168" s="19">
        <f>IF(Tabla15[[#This Row],[Duracion ideal (dia)]]="",I167,Tabla15[[#This Row],[Inicio ideal]]+Tabla15[[#This Row],[Duracion ideal (dia)]])</f>
        <v>46022</v>
      </c>
      <c r="J168" s="12"/>
      <c r="K168" s="19">
        <f>IF(Tabla15[[#This Row],[Duracion Real (dia)]]="",K167,L167)</f>
        <v>46030</v>
      </c>
      <c r="L168" s="19">
        <f>IF(Tabla15[[#This Row],[Duracion Real (dia)]]="",L167,Tabla15[[#This Row],[Inicio Real]]+Tabla15[[#This Row],[Duracion Real (dia)]])</f>
        <v>46036</v>
      </c>
      <c r="M168" s="12"/>
      <c r="N168" s="19" t="s">
        <v>35</v>
      </c>
      <c r="O168" s="13" t="s">
        <v>35</v>
      </c>
      <c r="P168" s="13" t="s">
        <v>35</v>
      </c>
      <c r="Q168" s="13" t="s">
        <v>35</v>
      </c>
      <c r="R168" s="13" t="s">
        <v>35</v>
      </c>
      <c r="S168" s="13" t="s">
        <v>35</v>
      </c>
      <c r="T168" s="13" t="s">
        <v>35</v>
      </c>
    </row>
    <row r="169" spans="1:20" hidden="1">
      <c r="A169" s="9" t="str">
        <f t="shared" si="17"/>
        <v>2.1.12.3.3</v>
      </c>
      <c r="B169" s="9">
        <f t="shared" si="18"/>
        <v>3</v>
      </c>
      <c r="C169" s="20" t="s">
        <v>230</v>
      </c>
      <c r="D169" s="15" t="s">
        <v>119</v>
      </c>
      <c r="E169" s="15" t="s">
        <v>29</v>
      </c>
      <c r="F169" s="15" t="str">
        <f>IF(Tabla15[[#This Row],[Columna1]]="","actividad","subactividad")</f>
        <v>subactividad</v>
      </c>
      <c r="G169" s="16"/>
      <c r="H169" s="19">
        <f t="shared" si="8"/>
        <v>46022</v>
      </c>
      <c r="I169" s="19">
        <f>IF(Tabla15[[#This Row],[Duracion ideal (dia)]]="",I168,Tabla15[[#This Row],[Inicio ideal]]+Tabla15[[#This Row],[Duracion ideal (dia)]])</f>
        <v>46022</v>
      </c>
      <c r="J169" s="16"/>
      <c r="K169" s="19">
        <f>IF(Tabla15[[#This Row],[Duracion Real (dia)]]="",K168,L168)</f>
        <v>46030</v>
      </c>
      <c r="L169" s="19">
        <f>IF(Tabla15[[#This Row],[Duracion Real (dia)]]="",L168,Tabla15[[#This Row],[Inicio Real]]+Tabla15[[#This Row],[Duracion Real (dia)]])</f>
        <v>46036</v>
      </c>
      <c r="M169" s="16"/>
      <c r="N169" s="19" t="s">
        <v>35</v>
      </c>
      <c r="O169" s="13" t="s">
        <v>35</v>
      </c>
      <c r="P169" s="13" t="s">
        <v>35</v>
      </c>
      <c r="Q169" s="13" t="s">
        <v>35</v>
      </c>
      <c r="R169" s="13" t="s">
        <v>35</v>
      </c>
      <c r="S169" s="13" t="s">
        <v>35</v>
      </c>
      <c r="T169" s="13" t="s">
        <v>35</v>
      </c>
    </row>
    <row r="170" spans="1:20" hidden="1">
      <c r="A170" s="9" t="str">
        <f t="shared" si="17"/>
        <v>2.1.12.3.4</v>
      </c>
      <c r="B170" s="9">
        <f t="shared" si="18"/>
        <v>4</v>
      </c>
      <c r="C170" s="10" t="s">
        <v>231</v>
      </c>
      <c r="D170" s="11" t="s">
        <v>119</v>
      </c>
      <c r="E170" s="11" t="s">
        <v>29</v>
      </c>
      <c r="F170" s="15" t="str">
        <f>IF(Tabla15[[#This Row],[Columna1]]="","actividad","subactividad")</f>
        <v>subactividad</v>
      </c>
      <c r="G170" s="12"/>
      <c r="H170" s="19">
        <f t="shared" ref="H170:H233" si="19">I169</f>
        <v>46022</v>
      </c>
      <c r="I170" s="19">
        <f>IF(Tabla15[[#This Row],[Duracion ideal (dia)]]="",I169,Tabla15[[#This Row],[Inicio ideal]]+Tabla15[[#This Row],[Duracion ideal (dia)]])</f>
        <v>46022</v>
      </c>
      <c r="J170" s="12"/>
      <c r="K170" s="19">
        <f>IF(Tabla15[[#This Row],[Duracion Real (dia)]]="",K169,L169)</f>
        <v>46030</v>
      </c>
      <c r="L170" s="19">
        <f>IF(Tabla15[[#This Row],[Duracion Real (dia)]]="",L169,Tabla15[[#This Row],[Inicio Real]]+Tabla15[[#This Row],[Duracion Real (dia)]])</f>
        <v>46036</v>
      </c>
      <c r="M170" s="12"/>
      <c r="N170" s="19" t="s">
        <v>35</v>
      </c>
      <c r="O170" s="13" t="s">
        <v>35</v>
      </c>
      <c r="P170" s="13" t="s">
        <v>35</v>
      </c>
      <c r="Q170" s="13" t="s">
        <v>35</v>
      </c>
      <c r="R170" s="13" t="s">
        <v>35</v>
      </c>
      <c r="S170" s="13" t="s">
        <v>35</v>
      </c>
      <c r="T170" s="13" t="s">
        <v>35</v>
      </c>
    </row>
    <row r="171" spans="1:20" hidden="1">
      <c r="A171" s="9" t="str">
        <f t="shared" si="17"/>
        <v>2.1.12.3.5</v>
      </c>
      <c r="B171" s="9">
        <f t="shared" si="18"/>
        <v>5</v>
      </c>
      <c r="C171" s="20" t="s">
        <v>232</v>
      </c>
      <c r="D171" s="15" t="s">
        <v>119</v>
      </c>
      <c r="E171" s="15" t="s">
        <v>29</v>
      </c>
      <c r="F171" s="15" t="str">
        <f>IF(Tabla15[[#This Row],[Columna1]]="","actividad","subactividad")</f>
        <v>subactividad</v>
      </c>
      <c r="G171" s="16"/>
      <c r="H171" s="19">
        <f t="shared" si="19"/>
        <v>46022</v>
      </c>
      <c r="I171" s="19">
        <f>IF(Tabla15[[#This Row],[Duracion ideal (dia)]]="",I170,Tabla15[[#This Row],[Inicio ideal]]+Tabla15[[#This Row],[Duracion ideal (dia)]])</f>
        <v>46022</v>
      </c>
      <c r="J171" s="16"/>
      <c r="K171" s="19">
        <f>IF(Tabla15[[#This Row],[Duracion Real (dia)]]="",K170,L170)</f>
        <v>46030</v>
      </c>
      <c r="L171" s="19">
        <f>IF(Tabla15[[#This Row],[Duracion Real (dia)]]="",L170,Tabla15[[#This Row],[Inicio Real]]+Tabla15[[#This Row],[Duracion Real (dia)]])</f>
        <v>46036</v>
      </c>
      <c r="M171" s="16"/>
      <c r="N171" s="19" t="s">
        <v>35</v>
      </c>
      <c r="O171" s="13" t="s">
        <v>35</v>
      </c>
      <c r="P171" s="13" t="s">
        <v>35</v>
      </c>
      <c r="Q171" s="13" t="s">
        <v>35</v>
      </c>
      <c r="R171" s="13" t="s">
        <v>35</v>
      </c>
      <c r="S171" s="13" t="s">
        <v>35</v>
      </c>
      <c r="T171" s="13" t="s">
        <v>35</v>
      </c>
    </row>
    <row r="172" spans="1:20" hidden="1">
      <c r="A172" s="9" t="str">
        <f t="shared" si="17"/>
        <v>2.1.12.3.6</v>
      </c>
      <c r="B172" s="9">
        <f t="shared" si="18"/>
        <v>6</v>
      </c>
      <c r="C172" s="10" t="s">
        <v>233</v>
      </c>
      <c r="D172" s="11" t="s">
        <v>119</v>
      </c>
      <c r="E172" s="11" t="s">
        <v>29</v>
      </c>
      <c r="F172" s="15" t="str">
        <f>IF(Tabla15[[#This Row],[Columna1]]="","actividad","subactividad")</f>
        <v>subactividad</v>
      </c>
      <c r="G172" s="12"/>
      <c r="H172" s="19">
        <f t="shared" si="19"/>
        <v>46022</v>
      </c>
      <c r="I172" s="19">
        <f>IF(Tabla15[[#This Row],[Duracion ideal (dia)]]="",I171,Tabla15[[#This Row],[Inicio ideal]]+Tabla15[[#This Row],[Duracion ideal (dia)]])</f>
        <v>46022</v>
      </c>
      <c r="J172" s="12"/>
      <c r="K172" s="19">
        <f>IF(Tabla15[[#This Row],[Duracion Real (dia)]]="",K171,L171)</f>
        <v>46030</v>
      </c>
      <c r="L172" s="19">
        <f>IF(Tabla15[[#This Row],[Duracion Real (dia)]]="",L171,Tabla15[[#This Row],[Inicio Real]]+Tabla15[[#This Row],[Duracion Real (dia)]])</f>
        <v>46036</v>
      </c>
      <c r="M172" s="12"/>
      <c r="N172" s="19" t="s">
        <v>35</v>
      </c>
      <c r="O172" s="13" t="s">
        <v>35</v>
      </c>
      <c r="P172" s="13" t="s">
        <v>35</v>
      </c>
      <c r="Q172" s="13" t="s">
        <v>35</v>
      </c>
      <c r="R172" s="13" t="s">
        <v>35</v>
      </c>
      <c r="S172" s="13" t="s">
        <v>35</v>
      </c>
      <c r="T172" s="13" t="s">
        <v>35</v>
      </c>
    </row>
    <row r="173" spans="1:20" hidden="1">
      <c r="A173" s="9" t="str">
        <f t="shared" si="17"/>
        <v>2.1.12.3.7</v>
      </c>
      <c r="B173" s="9">
        <f t="shared" si="18"/>
        <v>7</v>
      </c>
      <c r="C173" s="20" t="s">
        <v>234</v>
      </c>
      <c r="D173" s="15" t="s">
        <v>119</v>
      </c>
      <c r="E173" s="15" t="s">
        <v>29</v>
      </c>
      <c r="F173" s="15" t="str">
        <f>IF(Tabla15[[#This Row],[Columna1]]="","actividad","subactividad")</f>
        <v>subactividad</v>
      </c>
      <c r="G173" s="16"/>
      <c r="H173" s="19">
        <f t="shared" si="19"/>
        <v>46022</v>
      </c>
      <c r="I173" s="19">
        <f>IF(Tabla15[[#This Row],[Duracion ideal (dia)]]="",I172,Tabla15[[#This Row],[Inicio ideal]]+Tabla15[[#This Row],[Duracion ideal (dia)]])</f>
        <v>46022</v>
      </c>
      <c r="J173" s="16"/>
      <c r="K173" s="19">
        <f>IF(Tabla15[[#This Row],[Duracion Real (dia)]]="",K172,L172)</f>
        <v>46030</v>
      </c>
      <c r="L173" s="19">
        <f>IF(Tabla15[[#This Row],[Duracion Real (dia)]]="",L172,Tabla15[[#This Row],[Inicio Real]]+Tabla15[[#This Row],[Duracion Real (dia)]])</f>
        <v>46036</v>
      </c>
      <c r="M173" s="16"/>
      <c r="N173" s="19" t="s">
        <v>35</v>
      </c>
      <c r="O173" s="13" t="s">
        <v>35</v>
      </c>
      <c r="P173" s="13" t="s">
        <v>35</v>
      </c>
      <c r="Q173" s="13" t="s">
        <v>35</v>
      </c>
      <c r="R173" s="13" t="s">
        <v>35</v>
      </c>
      <c r="S173" s="13" t="s">
        <v>35</v>
      </c>
      <c r="T173" s="13" t="s">
        <v>35</v>
      </c>
    </row>
    <row r="174" spans="1:20">
      <c r="A174" s="9" t="s">
        <v>235</v>
      </c>
      <c r="B174" s="9"/>
      <c r="C174" s="22" t="s">
        <v>236</v>
      </c>
      <c r="D174" s="11" t="s">
        <v>119</v>
      </c>
      <c r="E174" s="11" t="s">
        <v>29</v>
      </c>
      <c r="F174" s="15" t="str">
        <f>IF(Tabla15[[#This Row],[Columna1]]="","actividad","subactividad")</f>
        <v>actividad</v>
      </c>
      <c r="G174" s="12" t="s">
        <v>209</v>
      </c>
      <c r="H174" s="19">
        <f t="shared" si="19"/>
        <v>46022</v>
      </c>
      <c r="I174" s="19">
        <f>IF(Tabla15[[#This Row],[Duracion ideal (dia)]]="",I173,Tabla15[[#This Row],[Inicio ideal]]+Tabla15[[#This Row],[Duracion ideal (dia)]])</f>
        <v>46030</v>
      </c>
      <c r="J174" s="12">
        <v>8</v>
      </c>
      <c r="K174" s="19">
        <f>IF(Tabla15[[#This Row],[Duracion Real (dia)]]="",K173,L173)</f>
        <v>46036</v>
      </c>
      <c r="L174" s="19">
        <f>IF(Tabla15[[#This Row],[Duracion Real (dia)]]="",L173,Tabla15[[#This Row],[Inicio Real]]+Tabla15[[#This Row],[Duracion Real (dia)]])</f>
        <v>46044</v>
      </c>
      <c r="M174" s="12">
        <v>8</v>
      </c>
      <c r="N174" s="19" t="s">
        <v>33</v>
      </c>
      <c r="O174" s="13">
        <v>170197.05</v>
      </c>
      <c r="P174" s="13">
        <v>9230.7999999999993</v>
      </c>
      <c r="Q174" s="13">
        <v>179427.84999999998</v>
      </c>
      <c r="R174" s="13">
        <v>180166.25</v>
      </c>
      <c r="S174" s="13">
        <v>221256.16499999998</v>
      </c>
      <c r="T174" s="13">
        <v>221256.16499999998</v>
      </c>
    </row>
    <row r="175" spans="1:20" hidden="1">
      <c r="A175" s="9" t="str">
        <f t="shared" ref="A175:A181" si="20">CONCATENATE($A$174,".",B175)</f>
        <v>2.1.12.4.1</v>
      </c>
      <c r="B175" s="9">
        <f t="shared" ref="B175:B181" si="21">IF(B174=" ",1,B174+1)</f>
        <v>1</v>
      </c>
      <c r="C175" s="20" t="s">
        <v>237</v>
      </c>
      <c r="D175" s="15" t="s">
        <v>119</v>
      </c>
      <c r="E175" s="15" t="s">
        <v>29</v>
      </c>
      <c r="F175" s="15" t="str">
        <f>IF(Tabla15[[#This Row],[Columna1]]="","actividad","subactividad")</f>
        <v>subactividad</v>
      </c>
      <c r="G175" s="16"/>
      <c r="H175" s="19">
        <f t="shared" si="19"/>
        <v>46030</v>
      </c>
      <c r="I175" s="19">
        <f>IF(Tabla15[[#This Row],[Duracion ideal (dia)]]="",I174,Tabla15[[#This Row],[Inicio ideal]]+Tabla15[[#This Row],[Duracion ideal (dia)]])</f>
        <v>46030</v>
      </c>
      <c r="J175" s="16"/>
      <c r="K175" s="19">
        <f>IF(Tabla15[[#This Row],[Duracion Real (dia)]]="",K174,L174)</f>
        <v>46036</v>
      </c>
      <c r="L175" s="19">
        <f>IF(Tabla15[[#This Row],[Duracion Real (dia)]]="",L174,Tabla15[[#This Row],[Inicio Real]]+Tabla15[[#This Row],[Duracion Real (dia)]])</f>
        <v>46044</v>
      </c>
      <c r="M175" s="16"/>
      <c r="N175" s="19" t="s">
        <v>35</v>
      </c>
      <c r="O175" s="13" t="s">
        <v>35</v>
      </c>
      <c r="P175" s="13" t="s">
        <v>35</v>
      </c>
      <c r="Q175" s="13" t="s">
        <v>35</v>
      </c>
      <c r="R175" s="13" t="s">
        <v>35</v>
      </c>
      <c r="S175" s="13" t="s">
        <v>35</v>
      </c>
      <c r="T175" s="13" t="s">
        <v>35</v>
      </c>
    </row>
    <row r="176" spans="1:20" hidden="1">
      <c r="A176" s="9" t="str">
        <f t="shared" si="20"/>
        <v>2.1.12.4.2</v>
      </c>
      <c r="B176" s="9">
        <f t="shared" si="21"/>
        <v>2</v>
      </c>
      <c r="C176" s="10" t="s">
        <v>238</v>
      </c>
      <c r="D176" s="11" t="s">
        <v>119</v>
      </c>
      <c r="E176" s="11" t="s">
        <v>29</v>
      </c>
      <c r="F176" s="15" t="str">
        <f>IF(Tabla15[[#This Row],[Columna1]]="","actividad","subactividad")</f>
        <v>subactividad</v>
      </c>
      <c r="G176" s="12"/>
      <c r="H176" s="19">
        <f t="shared" si="19"/>
        <v>46030</v>
      </c>
      <c r="I176" s="19">
        <f>IF(Tabla15[[#This Row],[Duracion ideal (dia)]]="",I175,Tabla15[[#This Row],[Inicio ideal]]+Tabla15[[#This Row],[Duracion ideal (dia)]])</f>
        <v>46030</v>
      </c>
      <c r="J176" s="12"/>
      <c r="K176" s="19">
        <f>IF(Tabla15[[#This Row],[Duracion Real (dia)]]="",K175,L175)</f>
        <v>46036</v>
      </c>
      <c r="L176" s="19">
        <f>IF(Tabla15[[#This Row],[Duracion Real (dia)]]="",L175,Tabla15[[#This Row],[Inicio Real]]+Tabla15[[#This Row],[Duracion Real (dia)]])</f>
        <v>46044</v>
      </c>
      <c r="M176" s="12"/>
      <c r="N176" s="19" t="s">
        <v>35</v>
      </c>
      <c r="O176" s="13" t="s">
        <v>35</v>
      </c>
      <c r="P176" s="13" t="s">
        <v>35</v>
      </c>
      <c r="Q176" s="13" t="s">
        <v>35</v>
      </c>
      <c r="R176" s="13" t="s">
        <v>35</v>
      </c>
      <c r="S176" s="13" t="s">
        <v>35</v>
      </c>
      <c r="T176" s="13" t="s">
        <v>35</v>
      </c>
    </row>
    <row r="177" spans="1:20" hidden="1">
      <c r="A177" s="9" t="str">
        <f t="shared" si="20"/>
        <v>2.1.12.4.3</v>
      </c>
      <c r="B177" s="9">
        <f t="shared" si="21"/>
        <v>3</v>
      </c>
      <c r="C177" s="20" t="s">
        <v>239</v>
      </c>
      <c r="D177" s="15" t="s">
        <v>119</v>
      </c>
      <c r="E177" s="15" t="s">
        <v>29</v>
      </c>
      <c r="F177" s="15" t="str">
        <f>IF(Tabla15[[#This Row],[Columna1]]="","actividad","subactividad")</f>
        <v>subactividad</v>
      </c>
      <c r="G177" s="16"/>
      <c r="H177" s="19">
        <f t="shared" si="19"/>
        <v>46030</v>
      </c>
      <c r="I177" s="19">
        <f>IF(Tabla15[[#This Row],[Duracion ideal (dia)]]="",I176,Tabla15[[#This Row],[Inicio ideal]]+Tabla15[[#This Row],[Duracion ideal (dia)]])</f>
        <v>46030</v>
      </c>
      <c r="J177" s="16"/>
      <c r="K177" s="19">
        <f>IF(Tabla15[[#This Row],[Duracion Real (dia)]]="",K176,L176)</f>
        <v>46036</v>
      </c>
      <c r="L177" s="19">
        <f>IF(Tabla15[[#This Row],[Duracion Real (dia)]]="",L176,Tabla15[[#This Row],[Inicio Real]]+Tabla15[[#This Row],[Duracion Real (dia)]])</f>
        <v>46044</v>
      </c>
      <c r="M177" s="16"/>
      <c r="N177" s="19" t="s">
        <v>35</v>
      </c>
      <c r="O177" s="13" t="s">
        <v>35</v>
      </c>
      <c r="P177" s="13" t="s">
        <v>35</v>
      </c>
      <c r="Q177" s="13" t="s">
        <v>35</v>
      </c>
      <c r="R177" s="13" t="s">
        <v>35</v>
      </c>
      <c r="S177" s="13" t="s">
        <v>35</v>
      </c>
      <c r="T177" s="13" t="s">
        <v>35</v>
      </c>
    </row>
    <row r="178" spans="1:20" hidden="1">
      <c r="A178" s="9" t="str">
        <f t="shared" si="20"/>
        <v>2.1.12.4.4</v>
      </c>
      <c r="B178" s="9">
        <f t="shared" si="21"/>
        <v>4</v>
      </c>
      <c r="C178" s="10" t="s">
        <v>240</v>
      </c>
      <c r="D178" s="11" t="s">
        <v>119</v>
      </c>
      <c r="E178" s="11" t="s">
        <v>29</v>
      </c>
      <c r="F178" s="15" t="str">
        <f>IF(Tabla15[[#This Row],[Columna1]]="","actividad","subactividad")</f>
        <v>subactividad</v>
      </c>
      <c r="G178" s="12"/>
      <c r="H178" s="19">
        <f t="shared" si="19"/>
        <v>46030</v>
      </c>
      <c r="I178" s="19">
        <f>IF(Tabla15[[#This Row],[Duracion ideal (dia)]]="",I177,Tabla15[[#This Row],[Inicio ideal]]+Tabla15[[#This Row],[Duracion ideal (dia)]])</f>
        <v>46030</v>
      </c>
      <c r="J178" s="12"/>
      <c r="K178" s="19">
        <f>IF(Tabla15[[#This Row],[Duracion Real (dia)]]="",K177,L177)</f>
        <v>46036</v>
      </c>
      <c r="L178" s="19">
        <f>IF(Tabla15[[#This Row],[Duracion Real (dia)]]="",L177,Tabla15[[#This Row],[Inicio Real]]+Tabla15[[#This Row],[Duracion Real (dia)]])</f>
        <v>46044</v>
      </c>
      <c r="M178" s="12"/>
      <c r="N178" s="19" t="s">
        <v>35</v>
      </c>
      <c r="O178" s="13" t="s">
        <v>35</v>
      </c>
      <c r="P178" s="13" t="s">
        <v>35</v>
      </c>
      <c r="Q178" s="13" t="s">
        <v>35</v>
      </c>
      <c r="R178" s="13" t="s">
        <v>35</v>
      </c>
      <c r="S178" s="13" t="s">
        <v>35</v>
      </c>
      <c r="T178" s="13" t="s">
        <v>35</v>
      </c>
    </row>
    <row r="179" spans="1:20" hidden="1">
      <c r="A179" s="9" t="str">
        <f t="shared" si="20"/>
        <v>2.1.12.4.5</v>
      </c>
      <c r="B179" s="9">
        <f t="shared" si="21"/>
        <v>5</v>
      </c>
      <c r="C179" s="20" t="s">
        <v>241</v>
      </c>
      <c r="D179" s="15" t="s">
        <v>119</v>
      </c>
      <c r="E179" s="15" t="s">
        <v>29</v>
      </c>
      <c r="F179" s="15" t="str">
        <f>IF(Tabla15[[#This Row],[Columna1]]="","actividad","subactividad")</f>
        <v>subactividad</v>
      </c>
      <c r="G179" s="16"/>
      <c r="H179" s="19">
        <f t="shared" si="19"/>
        <v>46030</v>
      </c>
      <c r="I179" s="19">
        <f>IF(Tabla15[[#This Row],[Duracion ideal (dia)]]="",I178,Tabla15[[#This Row],[Inicio ideal]]+Tabla15[[#This Row],[Duracion ideal (dia)]])</f>
        <v>46030</v>
      </c>
      <c r="J179" s="16"/>
      <c r="K179" s="19">
        <f>IF(Tabla15[[#This Row],[Duracion Real (dia)]]="",K178,L178)</f>
        <v>46036</v>
      </c>
      <c r="L179" s="19">
        <f>IF(Tabla15[[#This Row],[Duracion Real (dia)]]="",L178,Tabla15[[#This Row],[Inicio Real]]+Tabla15[[#This Row],[Duracion Real (dia)]])</f>
        <v>46044</v>
      </c>
      <c r="M179" s="16"/>
      <c r="N179" s="19" t="s">
        <v>35</v>
      </c>
      <c r="O179" s="13" t="s">
        <v>35</v>
      </c>
      <c r="P179" s="13" t="s">
        <v>35</v>
      </c>
      <c r="Q179" s="13" t="s">
        <v>35</v>
      </c>
      <c r="R179" s="13" t="s">
        <v>35</v>
      </c>
      <c r="S179" s="13" t="s">
        <v>35</v>
      </c>
      <c r="T179" s="13" t="s">
        <v>35</v>
      </c>
    </row>
    <row r="180" spans="1:20" hidden="1">
      <c r="A180" s="9" t="str">
        <f t="shared" si="20"/>
        <v>2.1.12.4.6</v>
      </c>
      <c r="B180" s="9">
        <f t="shared" si="21"/>
        <v>6</v>
      </c>
      <c r="C180" s="10" t="s">
        <v>242</v>
      </c>
      <c r="D180" s="11" t="s">
        <v>119</v>
      </c>
      <c r="E180" s="11" t="s">
        <v>29</v>
      </c>
      <c r="F180" s="15" t="str">
        <f>IF(Tabla15[[#This Row],[Columna1]]="","actividad","subactividad")</f>
        <v>subactividad</v>
      </c>
      <c r="G180" s="12"/>
      <c r="H180" s="19">
        <f t="shared" si="19"/>
        <v>46030</v>
      </c>
      <c r="I180" s="19">
        <f>IF(Tabla15[[#This Row],[Duracion ideal (dia)]]="",I179,Tabla15[[#This Row],[Inicio ideal]]+Tabla15[[#This Row],[Duracion ideal (dia)]])</f>
        <v>46030</v>
      </c>
      <c r="J180" s="12"/>
      <c r="K180" s="19">
        <f>IF(Tabla15[[#This Row],[Duracion Real (dia)]]="",K179,L179)</f>
        <v>46036</v>
      </c>
      <c r="L180" s="19">
        <f>IF(Tabla15[[#This Row],[Duracion Real (dia)]]="",L179,Tabla15[[#This Row],[Inicio Real]]+Tabla15[[#This Row],[Duracion Real (dia)]])</f>
        <v>46044</v>
      </c>
      <c r="M180" s="12"/>
      <c r="N180" s="19" t="s">
        <v>35</v>
      </c>
      <c r="O180" s="13" t="s">
        <v>35</v>
      </c>
      <c r="P180" s="13" t="s">
        <v>35</v>
      </c>
      <c r="Q180" s="13" t="s">
        <v>35</v>
      </c>
      <c r="R180" s="13" t="s">
        <v>35</v>
      </c>
      <c r="S180" s="13" t="s">
        <v>35</v>
      </c>
      <c r="T180" s="13" t="s">
        <v>35</v>
      </c>
    </row>
    <row r="181" spans="1:20" hidden="1">
      <c r="A181" s="9" t="str">
        <f t="shared" si="20"/>
        <v>2.1.12.4.7</v>
      </c>
      <c r="B181" s="9">
        <f t="shared" si="21"/>
        <v>7</v>
      </c>
      <c r="C181" s="20" t="s">
        <v>243</v>
      </c>
      <c r="D181" s="15" t="s">
        <v>119</v>
      </c>
      <c r="E181" s="15" t="s">
        <v>29</v>
      </c>
      <c r="F181" s="15" t="str">
        <f>IF(Tabla15[[#This Row],[Columna1]]="","actividad","subactividad")</f>
        <v>subactividad</v>
      </c>
      <c r="G181" s="16"/>
      <c r="H181" s="19">
        <f t="shared" si="19"/>
        <v>46030</v>
      </c>
      <c r="I181" s="19">
        <f>IF(Tabla15[[#This Row],[Duracion ideal (dia)]]="",I180,Tabla15[[#This Row],[Inicio ideal]]+Tabla15[[#This Row],[Duracion ideal (dia)]])</f>
        <v>46030</v>
      </c>
      <c r="J181" s="16"/>
      <c r="K181" s="19">
        <f>IF(Tabla15[[#This Row],[Duracion Real (dia)]]="",K180,L180)</f>
        <v>46036</v>
      </c>
      <c r="L181" s="19">
        <f>IF(Tabla15[[#This Row],[Duracion Real (dia)]]="",L180,Tabla15[[#This Row],[Inicio Real]]+Tabla15[[#This Row],[Duracion Real (dia)]])</f>
        <v>46044</v>
      </c>
      <c r="M181" s="16"/>
      <c r="N181" s="19" t="s">
        <v>35</v>
      </c>
      <c r="O181" s="13" t="s">
        <v>35</v>
      </c>
      <c r="P181" s="13" t="s">
        <v>35</v>
      </c>
      <c r="Q181" s="13" t="s">
        <v>35</v>
      </c>
      <c r="R181" s="13" t="s">
        <v>35</v>
      </c>
      <c r="S181" s="13" t="s">
        <v>35</v>
      </c>
      <c r="T181" s="13" t="s">
        <v>35</v>
      </c>
    </row>
    <row r="182" spans="1:20">
      <c r="A182" s="9" t="s">
        <v>244</v>
      </c>
      <c r="B182" s="9"/>
      <c r="C182" s="22" t="s">
        <v>245</v>
      </c>
      <c r="D182" s="11" t="s">
        <v>119</v>
      </c>
      <c r="E182" s="11" t="s">
        <v>29</v>
      </c>
      <c r="F182" s="15" t="str">
        <f>IF(Tabla15[[#This Row],[Columna1]]="","actividad","subactividad")</f>
        <v>actividad</v>
      </c>
      <c r="G182" s="12" t="s">
        <v>209</v>
      </c>
      <c r="H182" s="19">
        <f t="shared" si="19"/>
        <v>46030</v>
      </c>
      <c r="I182" s="19">
        <f>IF(Tabla15[[#This Row],[Duracion ideal (dia)]]="",I181,Tabla15[[#This Row],[Inicio ideal]]+Tabla15[[#This Row],[Duracion ideal (dia)]])</f>
        <v>46036</v>
      </c>
      <c r="J182" s="12">
        <v>6</v>
      </c>
      <c r="K182" s="19">
        <f>IF(Tabla15[[#This Row],[Duracion Real (dia)]]="",K181,L181)</f>
        <v>46044</v>
      </c>
      <c r="L182" s="19">
        <f>IF(Tabla15[[#This Row],[Duracion Real (dia)]]="",L181,Tabla15[[#This Row],[Inicio Real]]+Tabla15[[#This Row],[Duracion Real (dia)]])</f>
        <v>46050</v>
      </c>
      <c r="M182" s="12">
        <v>6</v>
      </c>
      <c r="N182" s="19" t="s">
        <v>60</v>
      </c>
      <c r="O182" s="13">
        <v>170197.05</v>
      </c>
      <c r="P182" s="13">
        <v>8307.7199999999993</v>
      </c>
      <c r="Q182" s="13">
        <v>178504.77</v>
      </c>
      <c r="R182" s="13">
        <v>181267.94999999998</v>
      </c>
      <c r="S182" s="13">
        <v>221256.16499999998</v>
      </c>
      <c r="T182" s="13">
        <v>221256.16499999998</v>
      </c>
    </row>
    <row r="183" spans="1:20" hidden="1">
      <c r="A183" s="9" t="str">
        <f t="shared" ref="A183:A189" si="22">CONCATENATE($A$182,".",B183)</f>
        <v>2.1.12.5.1</v>
      </c>
      <c r="B183" s="9">
        <f t="shared" ref="B183:B189" si="23">IF(B182=" ",1,B182+1)</f>
        <v>1</v>
      </c>
      <c r="C183" s="20" t="s">
        <v>246</v>
      </c>
      <c r="D183" s="15" t="s">
        <v>119</v>
      </c>
      <c r="E183" s="15" t="s">
        <v>29</v>
      </c>
      <c r="F183" s="15" t="str">
        <f>IF(Tabla15[[#This Row],[Columna1]]="","actividad","subactividad")</f>
        <v>subactividad</v>
      </c>
      <c r="G183" s="16"/>
      <c r="H183" s="19">
        <f t="shared" si="19"/>
        <v>46036</v>
      </c>
      <c r="I183" s="19">
        <f>IF(Tabla15[[#This Row],[Duracion ideal (dia)]]="",I182,Tabla15[[#This Row],[Inicio ideal]]+Tabla15[[#This Row],[Duracion ideal (dia)]])</f>
        <v>46036</v>
      </c>
      <c r="J183" s="16"/>
      <c r="K183" s="19">
        <f>IF(Tabla15[[#This Row],[Duracion Real (dia)]]="",K182,L182)</f>
        <v>46044</v>
      </c>
      <c r="L183" s="19">
        <f>IF(Tabla15[[#This Row],[Duracion Real (dia)]]="",L182,Tabla15[[#This Row],[Inicio Real]]+Tabla15[[#This Row],[Duracion Real (dia)]])</f>
        <v>46050</v>
      </c>
      <c r="M183" s="16"/>
      <c r="N183" s="19" t="s">
        <v>35</v>
      </c>
      <c r="O183" s="13" t="s">
        <v>35</v>
      </c>
      <c r="P183" s="13" t="s">
        <v>35</v>
      </c>
      <c r="Q183" s="13" t="s">
        <v>35</v>
      </c>
      <c r="R183" s="13" t="s">
        <v>35</v>
      </c>
      <c r="S183" s="13" t="s">
        <v>35</v>
      </c>
      <c r="T183" s="13" t="s">
        <v>35</v>
      </c>
    </row>
    <row r="184" spans="1:20" hidden="1">
      <c r="A184" s="9" t="str">
        <f t="shared" si="22"/>
        <v>2.1.12.5.2</v>
      </c>
      <c r="B184" s="9">
        <f t="shared" si="23"/>
        <v>2</v>
      </c>
      <c r="C184" s="10" t="s">
        <v>247</v>
      </c>
      <c r="D184" s="11" t="s">
        <v>119</v>
      </c>
      <c r="E184" s="11" t="s">
        <v>29</v>
      </c>
      <c r="F184" s="15" t="str">
        <f>IF(Tabla15[[#This Row],[Columna1]]="","actividad","subactividad")</f>
        <v>subactividad</v>
      </c>
      <c r="G184" s="12"/>
      <c r="H184" s="19">
        <f t="shared" si="19"/>
        <v>46036</v>
      </c>
      <c r="I184" s="19">
        <f>IF(Tabla15[[#This Row],[Duracion ideal (dia)]]="",I183,Tabla15[[#This Row],[Inicio ideal]]+Tabla15[[#This Row],[Duracion ideal (dia)]])</f>
        <v>46036</v>
      </c>
      <c r="J184" s="12"/>
      <c r="K184" s="19">
        <f>IF(Tabla15[[#This Row],[Duracion Real (dia)]]="",K183,L183)</f>
        <v>46044</v>
      </c>
      <c r="L184" s="19">
        <f>IF(Tabla15[[#This Row],[Duracion Real (dia)]]="",L183,Tabla15[[#This Row],[Inicio Real]]+Tabla15[[#This Row],[Duracion Real (dia)]])</f>
        <v>46050</v>
      </c>
      <c r="M184" s="12"/>
      <c r="N184" s="19" t="s">
        <v>35</v>
      </c>
      <c r="O184" s="13" t="s">
        <v>35</v>
      </c>
      <c r="P184" s="13" t="s">
        <v>35</v>
      </c>
      <c r="Q184" s="13" t="s">
        <v>35</v>
      </c>
      <c r="R184" s="13" t="s">
        <v>35</v>
      </c>
      <c r="S184" s="13" t="s">
        <v>35</v>
      </c>
      <c r="T184" s="13" t="s">
        <v>35</v>
      </c>
    </row>
    <row r="185" spans="1:20" hidden="1">
      <c r="A185" s="9" t="str">
        <f t="shared" si="22"/>
        <v>2.1.12.5.3</v>
      </c>
      <c r="B185" s="9">
        <f t="shared" si="23"/>
        <v>3</v>
      </c>
      <c r="C185" s="20" t="s">
        <v>248</v>
      </c>
      <c r="D185" s="15" t="s">
        <v>119</v>
      </c>
      <c r="E185" s="15" t="s">
        <v>29</v>
      </c>
      <c r="F185" s="15" t="str">
        <f>IF(Tabla15[[#This Row],[Columna1]]="","actividad","subactividad")</f>
        <v>subactividad</v>
      </c>
      <c r="G185" s="16"/>
      <c r="H185" s="19">
        <f t="shared" si="19"/>
        <v>46036</v>
      </c>
      <c r="I185" s="19">
        <f>IF(Tabla15[[#This Row],[Duracion ideal (dia)]]="",I184,Tabla15[[#This Row],[Inicio ideal]]+Tabla15[[#This Row],[Duracion ideal (dia)]])</f>
        <v>46036</v>
      </c>
      <c r="J185" s="16"/>
      <c r="K185" s="19">
        <f>IF(Tabla15[[#This Row],[Duracion Real (dia)]]="",K184,L184)</f>
        <v>46044</v>
      </c>
      <c r="L185" s="19">
        <f>IF(Tabla15[[#This Row],[Duracion Real (dia)]]="",L184,Tabla15[[#This Row],[Inicio Real]]+Tabla15[[#This Row],[Duracion Real (dia)]])</f>
        <v>46050</v>
      </c>
      <c r="M185" s="16"/>
      <c r="N185" s="19" t="s">
        <v>35</v>
      </c>
      <c r="O185" s="13" t="s">
        <v>35</v>
      </c>
      <c r="P185" s="13" t="s">
        <v>35</v>
      </c>
      <c r="Q185" s="13" t="s">
        <v>35</v>
      </c>
      <c r="R185" s="13" t="s">
        <v>35</v>
      </c>
      <c r="S185" s="13" t="s">
        <v>35</v>
      </c>
      <c r="T185" s="13" t="s">
        <v>35</v>
      </c>
    </row>
    <row r="186" spans="1:20" hidden="1">
      <c r="A186" s="9" t="str">
        <f t="shared" si="22"/>
        <v>2.1.12.5.4</v>
      </c>
      <c r="B186" s="9">
        <f t="shared" si="23"/>
        <v>4</v>
      </c>
      <c r="C186" s="10" t="s">
        <v>249</v>
      </c>
      <c r="D186" s="11" t="s">
        <v>119</v>
      </c>
      <c r="E186" s="11" t="s">
        <v>29</v>
      </c>
      <c r="F186" s="15" t="str">
        <f>IF(Tabla15[[#This Row],[Columna1]]="","actividad","subactividad")</f>
        <v>subactividad</v>
      </c>
      <c r="G186" s="12"/>
      <c r="H186" s="19">
        <f t="shared" si="19"/>
        <v>46036</v>
      </c>
      <c r="I186" s="19">
        <f>IF(Tabla15[[#This Row],[Duracion ideal (dia)]]="",I185,Tabla15[[#This Row],[Inicio ideal]]+Tabla15[[#This Row],[Duracion ideal (dia)]])</f>
        <v>46036</v>
      </c>
      <c r="J186" s="12"/>
      <c r="K186" s="19">
        <f>IF(Tabla15[[#This Row],[Duracion Real (dia)]]="",K185,L185)</f>
        <v>46044</v>
      </c>
      <c r="L186" s="19">
        <f>IF(Tabla15[[#This Row],[Duracion Real (dia)]]="",L185,Tabla15[[#This Row],[Inicio Real]]+Tabla15[[#This Row],[Duracion Real (dia)]])</f>
        <v>46050</v>
      </c>
      <c r="M186" s="12"/>
      <c r="N186" s="19" t="s">
        <v>35</v>
      </c>
      <c r="O186" s="13" t="s">
        <v>35</v>
      </c>
      <c r="P186" s="13" t="s">
        <v>35</v>
      </c>
      <c r="Q186" s="13" t="s">
        <v>35</v>
      </c>
      <c r="R186" s="13" t="s">
        <v>35</v>
      </c>
      <c r="S186" s="13" t="s">
        <v>35</v>
      </c>
      <c r="T186" s="13" t="s">
        <v>35</v>
      </c>
    </row>
    <row r="187" spans="1:20" hidden="1">
      <c r="A187" s="9" t="str">
        <f t="shared" si="22"/>
        <v>2.1.12.5.5</v>
      </c>
      <c r="B187" s="9">
        <f t="shared" si="23"/>
        <v>5</v>
      </c>
      <c r="C187" s="20" t="s">
        <v>250</v>
      </c>
      <c r="D187" s="15" t="s">
        <v>119</v>
      </c>
      <c r="E187" s="15" t="s">
        <v>29</v>
      </c>
      <c r="F187" s="15" t="str">
        <f>IF(Tabla15[[#This Row],[Columna1]]="","actividad","subactividad")</f>
        <v>subactividad</v>
      </c>
      <c r="G187" s="16"/>
      <c r="H187" s="19">
        <f t="shared" si="19"/>
        <v>46036</v>
      </c>
      <c r="I187" s="19">
        <f>IF(Tabla15[[#This Row],[Duracion ideal (dia)]]="",I186,Tabla15[[#This Row],[Inicio ideal]]+Tabla15[[#This Row],[Duracion ideal (dia)]])</f>
        <v>46036</v>
      </c>
      <c r="J187" s="16"/>
      <c r="K187" s="19">
        <f>IF(Tabla15[[#This Row],[Duracion Real (dia)]]="",K186,L186)</f>
        <v>46044</v>
      </c>
      <c r="L187" s="19">
        <f>IF(Tabla15[[#This Row],[Duracion Real (dia)]]="",L186,Tabla15[[#This Row],[Inicio Real]]+Tabla15[[#This Row],[Duracion Real (dia)]])</f>
        <v>46050</v>
      </c>
      <c r="M187" s="16"/>
      <c r="N187" s="19" t="s">
        <v>35</v>
      </c>
      <c r="O187" s="13" t="s">
        <v>35</v>
      </c>
      <c r="P187" s="13" t="s">
        <v>35</v>
      </c>
      <c r="Q187" s="13" t="s">
        <v>35</v>
      </c>
      <c r="R187" s="13" t="s">
        <v>35</v>
      </c>
      <c r="S187" s="13" t="s">
        <v>35</v>
      </c>
      <c r="T187" s="13" t="s">
        <v>35</v>
      </c>
    </row>
    <row r="188" spans="1:20" hidden="1">
      <c r="A188" s="9" t="str">
        <f t="shared" si="22"/>
        <v>2.1.12.5.6</v>
      </c>
      <c r="B188" s="9">
        <f t="shared" si="23"/>
        <v>6</v>
      </c>
      <c r="C188" s="10" t="s">
        <v>251</v>
      </c>
      <c r="D188" s="11" t="s">
        <v>119</v>
      </c>
      <c r="E188" s="11" t="s">
        <v>29</v>
      </c>
      <c r="F188" s="15" t="str">
        <f>IF(Tabla15[[#This Row],[Columna1]]="","actividad","subactividad")</f>
        <v>subactividad</v>
      </c>
      <c r="G188" s="12"/>
      <c r="H188" s="19">
        <f t="shared" si="19"/>
        <v>46036</v>
      </c>
      <c r="I188" s="19">
        <f>IF(Tabla15[[#This Row],[Duracion ideal (dia)]]="",I187,Tabla15[[#This Row],[Inicio ideal]]+Tabla15[[#This Row],[Duracion ideal (dia)]])</f>
        <v>46036</v>
      </c>
      <c r="J188" s="12"/>
      <c r="K188" s="19">
        <f>IF(Tabla15[[#This Row],[Duracion Real (dia)]]="",K187,L187)</f>
        <v>46044</v>
      </c>
      <c r="L188" s="19">
        <f>IF(Tabla15[[#This Row],[Duracion Real (dia)]]="",L187,Tabla15[[#This Row],[Inicio Real]]+Tabla15[[#This Row],[Duracion Real (dia)]])</f>
        <v>46050</v>
      </c>
      <c r="M188" s="12"/>
      <c r="N188" s="19" t="s">
        <v>35</v>
      </c>
      <c r="O188" s="13" t="s">
        <v>35</v>
      </c>
      <c r="P188" s="13" t="s">
        <v>35</v>
      </c>
      <c r="Q188" s="13" t="s">
        <v>35</v>
      </c>
      <c r="R188" s="13" t="s">
        <v>35</v>
      </c>
      <c r="S188" s="13" t="s">
        <v>35</v>
      </c>
      <c r="T188" s="13" t="s">
        <v>35</v>
      </c>
    </row>
    <row r="189" spans="1:20" hidden="1">
      <c r="A189" s="9" t="str">
        <f t="shared" si="22"/>
        <v>2.1.12.5.7</v>
      </c>
      <c r="B189" s="9">
        <f t="shared" si="23"/>
        <v>7</v>
      </c>
      <c r="C189" s="20" t="s">
        <v>252</v>
      </c>
      <c r="D189" s="15" t="s">
        <v>119</v>
      </c>
      <c r="E189" s="15" t="s">
        <v>29</v>
      </c>
      <c r="F189" s="15" t="str">
        <f>IF(Tabla15[[#This Row],[Columna1]]="","actividad","subactividad")</f>
        <v>subactividad</v>
      </c>
      <c r="G189" s="16"/>
      <c r="H189" s="19">
        <f t="shared" si="19"/>
        <v>46036</v>
      </c>
      <c r="I189" s="19">
        <f>IF(Tabla15[[#This Row],[Duracion ideal (dia)]]="",I188,Tabla15[[#This Row],[Inicio ideal]]+Tabla15[[#This Row],[Duracion ideal (dia)]])</f>
        <v>46036</v>
      </c>
      <c r="J189" s="16"/>
      <c r="K189" s="19">
        <f>IF(Tabla15[[#This Row],[Duracion Real (dia)]]="",K188,L188)</f>
        <v>46044</v>
      </c>
      <c r="L189" s="19">
        <f>IF(Tabla15[[#This Row],[Duracion Real (dia)]]="",L188,Tabla15[[#This Row],[Inicio Real]]+Tabla15[[#This Row],[Duracion Real (dia)]])</f>
        <v>46050</v>
      </c>
      <c r="M189" s="16"/>
      <c r="N189" s="19" t="s">
        <v>35</v>
      </c>
      <c r="O189" s="13" t="s">
        <v>35</v>
      </c>
      <c r="P189" s="13" t="s">
        <v>35</v>
      </c>
      <c r="Q189" s="13" t="s">
        <v>35</v>
      </c>
      <c r="R189" s="13" t="s">
        <v>35</v>
      </c>
      <c r="S189" s="13" t="s">
        <v>35</v>
      </c>
      <c r="T189" s="13" t="s">
        <v>35</v>
      </c>
    </row>
    <row r="190" spans="1:20">
      <c r="A190" s="9" t="s">
        <v>253</v>
      </c>
      <c r="B190" s="9"/>
      <c r="C190" s="22" t="s">
        <v>254</v>
      </c>
      <c r="D190" s="11" t="s">
        <v>119</v>
      </c>
      <c r="E190" s="11" t="s">
        <v>29</v>
      </c>
      <c r="F190" s="15" t="str">
        <f>IF(Tabla15[[#This Row],[Columna1]]="","actividad","subactividad")</f>
        <v>actividad</v>
      </c>
      <c r="G190" s="12" t="s">
        <v>209</v>
      </c>
      <c r="H190" s="19">
        <f t="shared" si="19"/>
        <v>46036</v>
      </c>
      <c r="I190" s="19">
        <f>IF(Tabla15[[#This Row],[Duracion ideal (dia)]]="",I189,Tabla15[[#This Row],[Inicio ideal]]+Tabla15[[#This Row],[Duracion ideal (dia)]])</f>
        <v>46041</v>
      </c>
      <c r="J190" s="12">
        <v>5</v>
      </c>
      <c r="K190" s="19">
        <f>IF(Tabla15[[#This Row],[Duracion Real (dia)]]="",K189,L189)</f>
        <v>46050</v>
      </c>
      <c r="L190" s="19">
        <f>IF(Tabla15[[#This Row],[Duracion Real (dia)]]="",L189,Tabla15[[#This Row],[Inicio Real]]+Tabla15[[#This Row],[Duracion Real (dia)]])</f>
        <v>46055</v>
      </c>
      <c r="M190" s="12">
        <v>5</v>
      </c>
      <c r="N190" s="19" t="s">
        <v>88</v>
      </c>
      <c r="O190" s="13">
        <v>170197.05</v>
      </c>
      <c r="P190" s="13">
        <v>9225.75</v>
      </c>
      <c r="Q190" s="13">
        <v>179422.8</v>
      </c>
      <c r="R190" s="13">
        <v>175966.3</v>
      </c>
      <c r="S190" s="13">
        <v>221256.16499999998</v>
      </c>
      <c r="T190" s="13">
        <v>221256.16499999998</v>
      </c>
    </row>
    <row r="191" spans="1:20" hidden="1">
      <c r="A191" s="9" t="str">
        <f t="shared" ref="A191:A197" si="24">CONCATENATE($A$190,".",B191)</f>
        <v>2.1.12.6.1</v>
      </c>
      <c r="B191" s="9">
        <f t="shared" ref="B191:B197" si="25">IF(B190=" ",1,B190+1)</f>
        <v>1</v>
      </c>
      <c r="C191" s="20" t="s">
        <v>255</v>
      </c>
      <c r="D191" s="15" t="s">
        <v>119</v>
      </c>
      <c r="E191" s="15" t="s">
        <v>29</v>
      </c>
      <c r="F191" s="15" t="str">
        <f>IF(Tabla15[[#This Row],[Columna1]]="","actividad","subactividad")</f>
        <v>subactividad</v>
      </c>
      <c r="G191" s="16"/>
      <c r="H191" s="19">
        <f t="shared" si="19"/>
        <v>46041</v>
      </c>
      <c r="I191" s="19">
        <f>IF(Tabla15[[#This Row],[Duracion ideal (dia)]]="",I190,Tabla15[[#This Row],[Inicio ideal]]+Tabla15[[#This Row],[Duracion ideal (dia)]])</f>
        <v>46041</v>
      </c>
      <c r="J191" s="16"/>
      <c r="K191" s="19">
        <f>IF(Tabla15[[#This Row],[Duracion Real (dia)]]="",K190,L190)</f>
        <v>46050</v>
      </c>
      <c r="L191" s="19">
        <f>IF(Tabla15[[#This Row],[Duracion Real (dia)]]="",L190,Tabla15[[#This Row],[Inicio Real]]+Tabla15[[#This Row],[Duracion Real (dia)]])</f>
        <v>46055</v>
      </c>
      <c r="M191" s="16"/>
      <c r="N191" s="19" t="s">
        <v>35</v>
      </c>
      <c r="O191" s="13" t="s">
        <v>35</v>
      </c>
      <c r="P191" s="13" t="s">
        <v>35</v>
      </c>
      <c r="Q191" s="13" t="s">
        <v>35</v>
      </c>
      <c r="R191" s="13" t="s">
        <v>35</v>
      </c>
      <c r="S191" s="13" t="s">
        <v>35</v>
      </c>
      <c r="T191" s="13" t="s">
        <v>35</v>
      </c>
    </row>
    <row r="192" spans="1:20" hidden="1">
      <c r="A192" s="9" t="str">
        <f t="shared" si="24"/>
        <v>2.1.12.6.2</v>
      </c>
      <c r="B192" s="9">
        <f t="shared" si="25"/>
        <v>2</v>
      </c>
      <c r="C192" s="10" t="s">
        <v>256</v>
      </c>
      <c r="D192" s="11" t="s">
        <v>119</v>
      </c>
      <c r="E192" s="11" t="s">
        <v>29</v>
      </c>
      <c r="F192" s="15" t="str">
        <f>IF(Tabla15[[#This Row],[Columna1]]="","actividad","subactividad")</f>
        <v>subactividad</v>
      </c>
      <c r="G192" s="12"/>
      <c r="H192" s="19">
        <f t="shared" si="19"/>
        <v>46041</v>
      </c>
      <c r="I192" s="19">
        <f>IF(Tabla15[[#This Row],[Duracion ideal (dia)]]="",I191,Tabla15[[#This Row],[Inicio ideal]]+Tabla15[[#This Row],[Duracion ideal (dia)]])</f>
        <v>46041</v>
      </c>
      <c r="J192" s="12"/>
      <c r="K192" s="19">
        <f>IF(Tabla15[[#This Row],[Duracion Real (dia)]]="",K191,L191)</f>
        <v>46050</v>
      </c>
      <c r="L192" s="19">
        <f>IF(Tabla15[[#This Row],[Duracion Real (dia)]]="",L191,Tabla15[[#This Row],[Inicio Real]]+Tabla15[[#This Row],[Duracion Real (dia)]])</f>
        <v>46055</v>
      </c>
      <c r="M192" s="12"/>
      <c r="N192" s="19" t="s">
        <v>35</v>
      </c>
      <c r="O192" s="13" t="s">
        <v>35</v>
      </c>
      <c r="P192" s="13" t="s">
        <v>35</v>
      </c>
      <c r="Q192" s="13" t="s">
        <v>35</v>
      </c>
      <c r="R192" s="13" t="s">
        <v>35</v>
      </c>
      <c r="S192" s="13" t="s">
        <v>35</v>
      </c>
      <c r="T192" s="13" t="s">
        <v>35</v>
      </c>
    </row>
    <row r="193" spans="1:20" hidden="1">
      <c r="A193" s="9" t="str">
        <f t="shared" si="24"/>
        <v>2.1.12.6.3</v>
      </c>
      <c r="B193" s="9">
        <f t="shared" si="25"/>
        <v>3</v>
      </c>
      <c r="C193" s="20" t="s">
        <v>257</v>
      </c>
      <c r="D193" s="15" t="s">
        <v>119</v>
      </c>
      <c r="E193" s="15" t="s">
        <v>29</v>
      </c>
      <c r="F193" s="15" t="str">
        <f>IF(Tabla15[[#This Row],[Columna1]]="","actividad","subactividad")</f>
        <v>subactividad</v>
      </c>
      <c r="G193" s="16"/>
      <c r="H193" s="19">
        <f t="shared" si="19"/>
        <v>46041</v>
      </c>
      <c r="I193" s="19">
        <f>IF(Tabla15[[#This Row],[Duracion ideal (dia)]]="",I192,Tabla15[[#This Row],[Inicio ideal]]+Tabla15[[#This Row],[Duracion ideal (dia)]])</f>
        <v>46041</v>
      </c>
      <c r="J193" s="16"/>
      <c r="K193" s="19">
        <f>IF(Tabla15[[#This Row],[Duracion Real (dia)]]="",K192,L192)</f>
        <v>46050</v>
      </c>
      <c r="L193" s="19">
        <f>IF(Tabla15[[#This Row],[Duracion Real (dia)]]="",L192,Tabla15[[#This Row],[Inicio Real]]+Tabla15[[#This Row],[Duracion Real (dia)]])</f>
        <v>46055</v>
      </c>
      <c r="M193" s="16"/>
      <c r="N193" s="19" t="s">
        <v>35</v>
      </c>
      <c r="O193" s="13" t="s">
        <v>35</v>
      </c>
      <c r="P193" s="13" t="s">
        <v>35</v>
      </c>
      <c r="Q193" s="13" t="s">
        <v>35</v>
      </c>
      <c r="R193" s="13" t="s">
        <v>35</v>
      </c>
      <c r="S193" s="13" t="s">
        <v>35</v>
      </c>
      <c r="T193" s="13" t="s">
        <v>35</v>
      </c>
    </row>
    <row r="194" spans="1:20" hidden="1">
      <c r="A194" s="9" t="str">
        <f t="shared" si="24"/>
        <v>2.1.12.6.4</v>
      </c>
      <c r="B194" s="9">
        <f t="shared" si="25"/>
        <v>4</v>
      </c>
      <c r="C194" s="10" t="s">
        <v>258</v>
      </c>
      <c r="D194" s="11" t="s">
        <v>119</v>
      </c>
      <c r="E194" s="11" t="s">
        <v>29</v>
      </c>
      <c r="F194" s="15" t="str">
        <f>IF(Tabla15[[#This Row],[Columna1]]="","actividad","subactividad")</f>
        <v>subactividad</v>
      </c>
      <c r="G194" s="12"/>
      <c r="H194" s="19">
        <f t="shared" si="19"/>
        <v>46041</v>
      </c>
      <c r="I194" s="19">
        <f>IF(Tabla15[[#This Row],[Duracion ideal (dia)]]="",I193,Tabla15[[#This Row],[Inicio ideal]]+Tabla15[[#This Row],[Duracion ideal (dia)]])</f>
        <v>46041</v>
      </c>
      <c r="J194" s="12"/>
      <c r="K194" s="19">
        <f>IF(Tabla15[[#This Row],[Duracion Real (dia)]]="",K193,L193)</f>
        <v>46050</v>
      </c>
      <c r="L194" s="19">
        <f>IF(Tabla15[[#This Row],[Duracion Real (dia)]]="",L193,Tabla15[[#This Row],[Inicio Real]]+Tabla15[[#This Row],[Duracion Real (dia)]])</f>
        <v>46055</v>
      </c>
      <c r="M194" s="12"/>
      <c r="N194" s="19" t="s">
        <v>35</v>
      </c>
      <c r="O194" s="13" t="s">
        <v>35</v>
      </c>
      <c r="P194" s="13" t="s">
        <v>35</v>
      </c>
      <c r="Q194" s="13" t="s">
        <v>35</v>
      </c>
      <c r="R194" s="13" t="s">
        <v>35</v>
      </c>
      <c r="S194" s="13" t="s">
        <v>35</v>
      </c>
      <c r="T194" s="13" t="s">
        <v>35</v>
      </c>
    </row>
    <row r="195" spans="1:20" hidden="1">
      <c r="A195" s="9" t="str">
        <f t="shared" si="24"/>
        <v>2.1.12.6.5</v>
      </c>
      <c r="B195" s="9">
        <f t="shared" si="25"/>
        <v>5</v>
      </c>
      <c r="C195" s="20" t="s">
        <v>259</v>
      </c>
      <c r="D195" s="15" t="s">
        <v>119</v>
      </c>
      <c r="E195" s="15" t="s">
        <v>29</v>
      </c>
      <c r="F195" s="15" t="str">
        <f>IF(Tabla15[[#This Row],[Columna1]]="","actividad","subactividad")</f>
        <v>subactividad</v>
      </c>
      <c r="G195" s="16"/>
      <c r="H195" s="19">
        <f t="shared" si="19"/>
        <v>46041</v>
      </c>
      <c r="I195" s="19">
        <f>IF(Tabla15[[#This Row],[Duracion ideal (dia)]]="",I194,Tabla15[[#This Row],[Inicio ideal]]+Tabla15[[#This Row],[Duracion ideal (dia)]])</f>
        <v>46041</v>
      </c>
      <c r="J195" s="16"/>
      <c r="K195" s="19">
        <f>IF(Tabla15[[#This Row],[Duracion Real (dia)]]="",K194,L194)</f>
        <v>46050</v>
      </c>
      <c r="L195" s="19">
        <f>IF(Tabla15[[#This Row],[Duracion Real (dia)]]="",L194,Tabla15[[#This Row],[Inicio Real]]+Tabla15[[#This Row],[Duracion Real (dia)]])</f>
        <v>46055</v>
      </c>
      <c r="M195" s="16"/>
      <c r="N195" s="19" t="s">
        <v>35</v>
      </c>
      <c r="O195" s="13" t="s">
        <v>35</v>
      </c>
      <c r="P195" s="13" t="s">
        <v>35</v>
      </c>
      <c r="Q195" s="13" t="s">
        <v>35</v>
      </c>
      <c r="R195" s="13" t="s">
        <v>35</v>
      </c>
      <c r="S195" s="13" t="s">
        <v>35</v>
      </c>
      <c r="T195" s="13" t="s">
        <v>35</v>
      </c>
    </row>
    <row r="196" spans="1:20" hidden="1">
      <c r="A196" s="9" t="str">
        <f t="shared" si="24"/>
        <v>2.1.12.6.6</v>
      </c>
      <c r="B196" s="9">
        <f t="shared" si="25"/>
        <v>6</v>
      </c>
      <c r="C196" s="10" t="s">
        <v>260</v>
      </c>
      <c r="D196" s="11" t="s">
        <v>119</v>
      </c>
      <c r="E196" s="11" t="s">
        <v>29</v>
      </c>
      <c r="F196" s="15" t="str">
        <f>IF(Tabla15[[#This Row],[Columna1]]="","actividad","subactividad")</f>
        <v>subactividad</v>
      </c>
      <c r="G196" s="12"/>
      <c r="H196" s="19">
        <f t="shared" si="19"/>
        <v>46041</v>
      </c>
      <c r="I196" s="19">
        <f>IF(Tabla15[[#This Row],[Duracion ideal (dia)]]="",I195,Tabla15[[#This Row],[Inicio ideal]]+Tabla15[[#This Row],[Duracion ideal (dia)]])</f>
        <v>46041</v>
      </c>
      <c r="J196" s="12"/>
      <c r="K196" s="19">
        <f>IF(Tabla15[[#This Row],[Duracion Real (dia)]]="",K195,L195)</f>
        <v>46050</v>
      </c>
      <c r="L196" s="19">
        <f>IF(Tabla15[[#This Row],[Duracion Real (dia)]]="",L195,Tabla15[[#This Row],[Inicio Real]]+Tabla15[[#This Row],[Duracion Real (dia)]])</f>
        <v>46055</v>
      </c>
      <c r="M196" s="12"/>
      <c r="N196" s="19" t="s">
        <v>35</v>
      </c>
      <c r="O196" s="13" t="s">
        <v>35</v>
      </c>
      <c r="P196" s="13" t="s">
        <v>35</v>
      </c>
      <c r="Q196" s="13" t="s">
        <v>35</v>
      </c>
      <c r="R196" s="13" t="s">
        <v>35</v>
      </c>
      <c r="S196" s="13" t="s">
        <v>35</v>
      </c>
      <c r="T196" s="13" t="s">
        <v>35</v>
      </c>
    </row>
    <row r="197" spans="1:20" hidden="1">
      <c r="A197" s="9" t="str">
        <f t="shared" si="24"/>
        <v>2.1.12.6.7</v>
      </c>
      <c r="B197" s="9">
        <f t="shared" si="25"/>
        <v>7</v>
      </c>
      <c r="C197" s="20" t="s">
        <v>261</v>
      </c>
      <c r="D197" s="15" t="s">
        <v>119</v>
      </c>
      <c r="E197" s="15" t="s">
        <v>29</v>
      </c>
      <c r="F197" s="15" t="str">
        <f>IF(Tabla15[[#This Row],[Columna1]]="","actividad","subactividad")</f>
        <v>subactividad</v>
      </c>
      <c r="G197" s="16"/>
      <c r="H197" s="19">
        <f t="shared" si="19"/>
        <v>46041</v>
      </c>
      <c r="I197" s="19">
        <f>IF(Tabla15[[#This Row],[Duracion ideal (dia)]]="",I196,Tabla15[[#This Row],[Inicio ideal]]+Tabla15[[#This Row],[Duracion ideal (dia)]])</f>
        <v>46041</v>
      </c>
      <c r="J197" s="16"/>
      <c r="K197" s="19">
        <f>IF(Tabla15[[#This Row],[Duracion Real (dia)]]="",K196,L196)</f>
        <v>46050</v>
      </c>
      <c r="L197" s="19">
        <f>IF(Tabla15[[#This Row],[Duracion Real (dia)]]="",L196,Tabla15[[#This Row],[Inicio Real]]+Tabla15[[#This Row],[Duracion Real (dia)]])</f>
        <v>46055</v>
      </c>
      <c r="M197" s="16"/>
      <c r="N197" s="19" t="s">
        <v>35</v>
      </c>
      <c r="O197" s="13" t="s">
        <v>35</v>
      </c>
      <c r="P197" s="13" t="s">
        <v>35</v>
      </c>
      <c r="Q197" s="13" t="s">
        <v>35</v>
      </c>
      <c r="R197" s="13" t="s">
        <v>35</v>
      </c>
      <c r="S197" s="13" t="s">
        <v>35</v>
      </c>
      <c r="T197" s="13" t="s">
        <v>35</v>
      </c>
    </row>
    <row r="198" spans="1:20">
      <c r="A198" s="9" t="s">
        <v>262</v>
      </c>
      <c r="B198" s="9"/>
      <c r="C198" s="22" t="s">
        <v>263</v>
      </c>
      <c r="D198" s="11" t="s">
        <v>119</v>
      </c>
      <c r="E198" s="11" t="s">
        <v>29</v>
      </c>
      <c r="F198" s="15" t="str">
        <f>IF(Tabla15[[#This Row],[Columna1]]="","actividad","subactividad")</f>
        <v>actividad</v>
      </c>
      <c r="G198" s="12" t="s">
        <v>209</v>
      </c>
      <c r="H198" s="19">
        <f t="shared" si="19"/>
        <v>46041</v>
      </c>
      <c r="I198" s="19">
        <f>IF(Tabla15[[#This Row],[Duracion ideal (dia)]]="",I197,Tabla15[[#This Row],[Inicio ideal]]+Tabla15[[#This Row],[Duracion ideal (dia)]])</f>
        <v>46049</v>
      </c>
      <c r="J198" s="12">
        <v>8</v>
      </c>
      <c r="K198" s="19">
        <f>IF(Tabla15[[#This Row],[Duracion Real (dia)]]="",K197,L197)</f>
        <v>46055</v>
      </c>
      <c r="L198" s="19">
        <f>IF(Tabla15[[#This Row],[Duracion Real (dia)]]="",L197,Tabla15[[#This Row],[Inicio Real]]+Tabla15[[#This Row],[Duracion Real (dia)]])</f>
        <v>46063</v>
      </c>
      <c r="M198" s="12">
        <v>8</v>
      </c>
      <c r="N198" s="19" t="s">
        <v>160</v>
      </c>
      <c r="O198" s="13">
        <v>170197.05</v>
      </c>
      <c r="P198" s="13">
        <v>12923.04</v>
      </c>
      <c r="Q198" s="13">
        <v>183120.09</v>
      </c>
      <c r="R198" s="13">
        <v>181274.00999999998</v>
      </c>
      <c r="S198" s="13">
        <v>221256.16499999998</v>
      </c>
      <c r="T198" s="13">
        <v>221256.16499999998</v>
      </c>
    </row>
    <row r="199" spans="1:20" hidden="1">
      <c r="A199" s="9" t="str">
        <f t="shared" ref="A199:A205" si="26">CONCATENATE($A$198,".",B199)</f>
        <v>2.1.12.7.1</v>
      </c>
      <c r="B199" s="9">
        <f t="shared" ref="B199:B205" si="27">IF(B198=" ",1,B198+1)</f>
        <v>1</v>
      </c>
      <c r="C199" s="20" t="s">
        <v>264</v>
      </c>
      <c r="D199" s="15" t="s">
        <v>119</v>
      </c>
      <c r="E199" s="15" t="s">
        <v>29</v>
      </c>
      <c r="F199" s="15" t="str">
        <f>IF(Tabla15[[#This Row],[Columna1]]="","actividad","subactividad")</f>
        <v>subactividad</v>
      </c>
      <c r="G199" s="16"/>
      <c r="H199" s="19">
        <f t="shared" si="19"/>
        <v>46049</v>
      </c>
      <c r="I199" s="19">
        <f>IF(Tabla15[[#This Row],[Duracion ideal (dia)]]="",I198,Tabla15[[#This Row],[Inicio ideal]]+Tabla15[[#This Row],[Duracion ideal (dia)]])</f>
        <v>46049</v>
      </c>
      <c r="J199" s="16"/>
      <c r="K199" s="19">
        <f>IF(Tabla15[[#This Row],[Duracion Real (dia)]]="",K198,L198)</f>
        <v>46055</v>
      </c>
      <c r="L199" s="19">
        <f>IF(Tabla15[[#This Row],[Duracion Real (dia)]]="",L198,Tabla15[[#This Row],[Inicio Real]]+Tabla15[[#This Row],[Duracion Real (dia)]])</f>
        <v>46063</v>
      </c>
      <c r="M199" s="16"/>
      <c r="N199" s="19" t="s">
        <v>35</v>
      </c>
      <c r="O199" s="13" t="s">
        <v>35</v>
      </c>
      <c r="P199" s="13" t="s">
        <v>35</v>
      </c>
      <c r="Q199" s="13" t="s">
        <v>35</v>
      </c>
      <c r="R199" s="13" t="s">
        <v>35</v>
      </c>
      <c r="S199" s="13" t="s">
        <v>35</v>
      </c>
      <c r="T199" s="13" t="s">
        <v>35</v>
      </c>
    </row>
    <row r="200" spans="1:20" hidden="1">
      <c r="A200" s="9" t="str">
        <f t="shared" si="26"/>
        <v>2.1.12.7.2</v>
      </c>
      <c r="B200" s="9">
        <f t="shared" si="27"/>
        <v>2</v>
      </c>
      <c r="C200" s="10" t="s">
        <v>265</v>
      </c>
      <c r="D200" s="11" t="s">
        <v>119</v>
      </c>
      <c r="E200" s="11" t="s">
        <v>29</v>
      </c>
      <c r="F200" s="15" t="str">
        <f>IF(Tabla15[[#This Row],[Columna1]]="","actividad","subactividad")</f>
        <v>subactividad</v>
      </c>
      <c r="G200" s="12"/>
      <c r="H200" s="19">
        <f t="shared" si="19"/>
        <v>46049</v>
      </c>
      <c r="I200" s="19">
        <f>IF(Tabla15[[#This Row],[Duracion ideal (dia)]]="",I199,Tabla15[[#This Row],[Inicio ideal]]+Tabla15[[#This Row],[Duracion ideal (dia)]])</f>
        <v>46049</v>
      </c>
      <c r="J200" s="12"/>
      <c r="K200" s="19">
        <f>IF(Tabla15[[#This Row],[Duracion Real (dia)]]="",K199,L199)</f>
        <v>46055</v>
      </c>
      <c r="L200" s="19">
        <f>IF(Tabla15[[#This Row],[Duracion Real (dia)]]="",L199,Tabla15[[#This Row],[Inicio Real]]+Tabla15[[#This Row],[Duracion Real (dia)]])</f>
        <v>46063</v>
      </c>
      <c r="M200" s="12"/>
      <c r="N200" s="19" t="s">
        <v>35</v>
      </c>
      <c r="O200" s="13" t="s">
        <v>35</v>
      </c>
      <c r="P200" s="13" t="s">
        <v>35</v>
      </c>
      <c r="Q200" s="13" t="s">
        <v>35</v>
      </c>
      <c r="R200" s="13" t="s">
        <v>35</v>
      </c>
      <c r="S200" s="13" t="s">
        <v>35</v>
      </c>
      <c r="T200" s="13" t="s">
        <v>35</v>
      </c>
    </row>
    <row r="201" spans="1:20" hidden="1">
      <c r="A201" s="9" t="str">
        <f t="shared" si="26"/>
        <v>2.1.12.7.3</v>
      </c>
      <c r="B201" s="9">
        <f t="shared" si="27"/>
        <v>3</v>
      </c>
      <c r="C201" s="20" t="s">
        <v>266</v>
      </c>
      <c r="D201" s="15" t="s">
        <v>119</v>
      </c>
      <c r="E201" s="15" t="s">
        <v>29</v>
      </c>
      <c r="F201" s="15" t="str">
        <f>IF(Tabla15[[#This Row],[Columna1]]="","actividad","subactividad")</f>
        <v>subactividad</v>
      </c>
      <c r="G201" s="16"/>
      <c r="H201" s="19">
        <f t="shared" si="19"/>
        <v>46049</v>
      </c>
      <c r="I201" s="19">
        <f>IF(Tabla15[[#This Row],[Duracion ideal (dia)]]="",I200,Tabla15[[#This Row],[Inicio ideal]]+Tabla15[[#This Row],[Duracion ideal (dia)]])</f>
        <v>46049</v>
      </c>
      <c r="J201" s="16"/>
      <c r="K201" s="19">
        <f>IF(Tabla15[[#This Row],[Duracion Real (dia)]]="",K200,L200)</f>
        <v>46055</v>
      </c>
      <c r="L201" s="19">
        <f>IF(Tabla15[[#This Row],[Duracion Real (dia)]]="",L200,Tabla15[[#This Row],[Inicio Real]]+Tabla15[[#This Row],[Duracion Real (dia)]])</f>
        <v>46063</v>
      </c>
      <c r="M201" s="16"/>
      <c r="N201" s="19" t="s">
        <v>35</v>
      </c>
      <c r="O201" s="13" t="s">
        <v>35</v>
      </c>
      <c r="P201" s="13" t="s">
        <v>35</v>
      </c>
      <c r="Q201" s="13" t="s">
        <v>35</v>
      </c>
      <c r="R201" s="13" t="s">
        <v>35</v>
      </c>
      <c r="S201" s="13" t="s">
        <v>35</v>
      </c>
      <c r="T201" s="13" t="s">
        <v>35</v>
      </c>
    </row>
    <row r="202" spans="1:20" hidden="1">
      <c r="A202" s="9" t="str">
        <f t="shared" si="26"/>
        <v>2.1.12.7.4</v>
      </c>
      <c r="B202" s="9">
        <f t="shared" si="27"/>
        <v>4</v>
      </c>
      <c r="C202" s="10" t="s">
        <v>267</v>
      </c>
      <c r="D202" s="11" t="s">
        <v>119</v>
      </c>
      <c r="E202" s="11" t="s">
        <v>29</v>
      </c>
      <c r="F202" s="15" t="str">
        <f>IF(Tabla15[[#This Row],[Columna1]]="","actividad","subactividad")</f>
        <v>subactividad</v>
      </c>
      <c r="G202" s="12"/>
      <c r="H202" s="19">
        <f t="shared" si="19"/>
        <v>46049</v>
      </c>
      <c r="I202" s="19">
        <f>IF(Tabla15[[#This Row],[Duracion ideal (dia)]]="",I201,Tabla15[[#This Row],[Inicio ideal]]+Tabla15[[#This Row],[Duracion ideal (dia)]])</f>
        <v>46049</v>
      </c>
      <c r="J202" s="12"/>
      <c r="K202" s="19">
        <f>IF(Tabla15[[#This Row],[Duracion Real (dia)]]="",K201,L201)</f>
        <v>46055</v>
      </c>
      <c r="L202" s="19">
        <f>IF(Tabla15[[#This Row],[Duracion Real (dia)]]="",L201,Tabla15[[#This Row],[Inicio Real]]+Tabla15[[#This Row],[Duracion Real (dia)]])</f>
        <v>46063</v>
      </c>
      <c r="M202" s="12"/>
      <c r="N202" s="19" t="s">
        <v>35</v>
      </c>
      <c r="O202" s="13" t="s">
        <v>35</v>
      </c>
      <c r="P202" s="13" t="s">
        <v>35</v>
      </c>
      <c r="Q202" s="13" t="s">
        <v>35</v>
      </c>
      <c r="R202" s="13" t="s">
        <v>35</v>
      </c>
      <c r="S202" s="13" t="s">
        <v>35</v>
      </c>
      <c r="T202" s="13" t="s">
        <v>35</v>
      </c>
    </row>
    <row r="203" spans="1:20" hidden="1">
      <c r="A203" s="9" t="str">
        <f t="shared" si="26"/>
        <v>2.1.12.7.5</v>
      </c>
      <c r="B203" s="9">
        <f t="shared" si="27"/>
        <v>5</v>
      </c>
      <c r="C203" s="20" t="s">
        <v>268</v>
      </c>
      <c r="D203" s="15" t="s">
        <v>119</v>
      </c>
      <c r="E203" s="15" t="s">
        <v>29</v>
      </c>
      <c r="F203" s="15" t="str">
        <f>IF(Tabla15[[#This Row],[Columna1]]="","actividad","subactividad")</f>
        <v>subactividad</v>
      </c>
      <c r="G203" s="16"/>
      <c r="H203" s="19">
        <f t="shared" si="19"/>
        <v>46049</v>
      </c>
      <c r="I203" s="19">
        <f>IF(Tabla15[[#This Row],[Duracion ideal (dia)]]="",I202,Tabla15[[#This Row],[Inicio ideal]]+Tabla15[[#This Row],[Duracion ideal (dia)]])</f>
        <v>46049</v>
      </c>
      <c r="J203" s="16"/>
      <c r="K203" s="19">
        <f>IF(Tabla15[[#This Row],[Duracion Real (dia)]]="",K202,L202)</f>
        <v>46055</v>
      </c>
      <c r="L203" s="19">
        <f>IF(Tabla15[[#This Row],[Duracion Real (dia)]]="",L202,Tabla15[[#This Row],[Inicio Real]]+Tabla15[[#This Row],[Duracion Real (dia)]])</f>
        <v>46063</v>
      </c>
      <c r="M203" s="16"/>
      <c r="N203" s="19" t="s">
        <v>35</v>
      </c>
      <c r="O203" s="13" t="s">
        <v>35</v>
      </c>
      <c r="P203" s="13" t="s">
        <v>35</v>
      </c>
      <c r="Q203" s="13" t="s">
        <v>35</v>
      </c>
      <c r="R203" s="13" t="s">
        <v>35</v>
      </c>
      <c r="S203" s="13" t="s">
        <v>35</v>
      </c>
      <c r="T203" s="13" t="s">
        <v>35</v>
      </c>
    </row>
    <row r="204" spans="1:20" hidden="1">
      <c r="A204" s="9" t="str">
        <f t="shared" si="26"/>
        <v>2.1.12.7.6</v>
      </c>
      <c r="B204" s="9">
        <f t="shared" si="27"/>
        <v>6</v>
      </c>
      <c r="C204" s="10" t="s">
        <v>269</v>
      </c>
      <c r="D204" s="11" t="s">
        <v>119</v>
      </c>
      <c r="E204" s="11" t="s">
        <v>29</v>
      </c>
      <c r="F204" s="15" t="str">
        <f>IF(Tabla15[[#This Row],[Columna1]]="","actividad","subactividad")</f>
        <v>subactividad</v>
      </c>
      <c r="G204" s="12"/>
      <c r="H204" s="19">
        <f t="shared" si="19"/>
        <v>46049</v>
      </c>
      <c r="I204" s="19">
        <f>IF(Tabla15[[#This Row],[Duracion ideal (dia)]]="",I203,Tabla15[[#This Row],[Inicio ideal]]+Tabla15[[#This Row],[Duracion ideal (dia)]])</f>
        <v>46049</v>
      </c>
      <c r="J204" s="12"/>
      <c r="K204" s="19">
        <f>IF(Tabla15[[#This Row],[Duracion Real (dia)]]="",K203,L203)</f>
        <v>46055</v>
      </c>
      <c r="L204" s="19">
        <f>IF(Tabla15[[#This Row],[Duracion Real (dia)]]="",L203,Tabla15[[#This Row],[Inicio Real]]+Tabla15[[#This Row],[Duracion Real (dia)]])</f>
        <v>46063</v>
      </c>
      <c r="M204" s="12"/>
      <c r="N204" s="19" t="s">
        <v>35</v>
      </c>
      <c r="O204" s="13" t="s">
        <v>35</v>
      </c>
      <c r="P204" s="13" t="s">
        <v>35</v>
      </c>
      <c r="Q204" s="13" t="s">
        <v>35</v>
      </c>
      <c r="R204" s="13" t="s">
        <v>35</v>
      </c>
      <c r="S204" s="13" t="s">
        <v>35</v>
      </c>
      <c r="T204" s="13" t="s">
        <v>35</v>
      </c>
    </row>
    <row r="205" spans="1:20" hidden="1">
      <c r="A205" s="9" t="str">
        <f t="shared" si="26"/>
        <v>2.1.12.7.7</v>
      </c>
      <c r="B205" s="9">
        <f t="shared" si="27"/>
        <v>7</v>
      </c>
      <c r="C205" s="20" t="s">
        <v>270</v>
      </c>
      <c r="D205" s="15" t="s">
        <v>119</v>
      </c>
      <c r="E205" s="15" t="s">
        <v>29</v>
      </c>
      <c r="F205" s="15" t="str">
        <f>IF(Tabla15[[#This Row],[Columna1]]="","actividad","subactividad")</f>
        <v>subactividad</v>
      </c>
      <c r="G205" s="16"/>
      <c r="H205" s="19">
        <f t="shared" si="19"/>
        <v>46049</v>
      </c>
      <c r="I205" s="19">
        <f>IF(Tabla15[[#This Row],[Duracion ideal (dia)]]="",I204,Tabla15[[#This Row],[Inicio ideal]]+Tabla15[[#This Row],[Duracion ideal (dia)]])</f>
        <v>46049</v>
      </c>
      <c r="J205" s="16"/>
      <c r="K205" s="19">
        <f>IF(Tabla15[[#This Row],[Duracion Real (dia)]]="",K204,L204)</f>
        <v>46055</v>
      </c>
      <c r="L205" s="19">
        <f>IF(Tabla15[[#This Row],[Duracion Real (dia)]]="",L204,Tabla15[[#This Row],[Inicio Real]]+Tabla15[[#This Row],[Duracion Real (dia)]])</f>
        <v>46063</v>
      </c>
      <c r="M205" s="16"/>
      <c r="N205" s="19" t="s">
        <v>35</v>
      </c>
      <c r="O205" s="13" t="s">
        <v>35</v>
      </c>
      <c r="P205" s="13" t="s">
        <v>35</v>
      </c>
      <c r="Q205" s="13" t="s">
        <v>35</v>
      </c>
      <c r="R205" s="13" t="s">
        <v>35</v>
      </c>
      <c r="S205" s="13" t="s">
        <v>35</v>
      </c>
      <c r="T205" s="13" t="s">
        <v>35</v>
      </c>
    </row>
    <row r="206" spans="1:20">
      <c r="A206" s="9" t="s">
        <v>271</v>
      </c>
      <c r="B206" s="9"/>
      <c r="C206" s="25" t="s">
        <v>272</v>
      </c>
      <c r="D206" s="11" t="s">
        <v>119</v>
      </c>
      <c r="E206" s="11" t="s">
        <v>29</v>
      </c>
      <c r="F206" s="15" t="str">
        <f>IF(Tabla15[[#This Row],[Columna1]]="","actividad","subactividad")</f>
        <v>actividad</v>
      </c>
      <c r="G206" s="12" t="s">
        <v>197</v>
      </c>
      <c r="H206" s="19">
        <f t="shared" si="19"/>
        <v>46049</v>
      </c>
      <c r="I206" s="19">
        <f>IF(Tabla15[[#This Row],[Duracion ideal (dia)]]="",I205,Tabla15[[#This Row],[Inicio ideal]]+Tabla15[[#This Row],[Duracion ideal (dia)]])</f>
        <v>46049</v>
      </c>
      <c r="J206" s="12"/>
      <c r="K206" s="19">
        <f>IF(Tabla15[[#This Row],[Duracion Real (dia)]]="",K205,L205)</f>
        <v>46055</v>
      </c>
      <c r="L206" s="19">
        <f>IF(Tabla15[[#This Row],[Duracion Real (dia)]]="",L205,Tabla15[[#This Row],[Inicio Real]]+Tabla15[[#This Row],[Duracion Real (dia)]])</f>
        <v>46063</v>
      </c>
      <c r="M206" s="12"/>
      <c r="N206" s="19" t="s">
        <v>35</v>
      </c>
      <c r="O206" s="13" t="s">
        <v>35</v>
      </c>
      <c r="P206" s="13" t="s">
        <v>35</v>
      </c>
      <c r="Q206" s="13" t="s">
        <v>35</v>
      </c>
      <c r="R206" s="13" t="s">
        <v>35</v>
      </c>
      <c r="S206" s="13" t="s">
        <v>35</v>
      </c>
      <c r="T206" s="13" t="s">
        <v>35</v>
      </c>
    </row>
    <row r="207" spans="1:20">
      <c r="A207" s="9" t="s">
        <v>273</v>
      </c>
      <c r="B207" s="9"/>
      <c r="C207" s="21" t="s">
        <v>274</v>
      </c>
      <c r="D207" s="15" t="s">
        <v>119</v>
      </c>
      <c r="E207" s="15" t="s">
        <v>29</v>
      </c>
      <c r="F207" s="15" t="str">
        <f>IF(Tabla15[[#This Row],[Columna1]]="","actividad","subactividad")</f>
        <v>actividad</v>
      </c>
      <c r="G207" s="16" t="s">
        <v>209</v>
      </c>
      <c r="H207" s="19">
        <f t="shared" si="19"/>
        <v>46049</v>
      </c>
      <c r="I207" s="19">
        <f>IF(Tabla15[[#This Row],[Duracion ideal (dia)]]="",I206,Tabla15[[#This Row],[Inicio ideal]]+Tabla15[[#This Row],[Duracion ideal (dia)]])</f>
        <v>46059</v>
      </c>
      <c r="J207" s="16">
        <v>10</v>
      </c>
      <c r="K207" s="19">
        <f>IF(Tabla15[[#This Row],[Duracion Real (dia)]]="",K206,L206)</f>
        <v>46063</v>
      </c>
      <c r="L207" s="19">
        <f>IF(Tabla15[[#This Row],[Duracion Real (dia)]]="",L206,Tabla15[[#This Row],[Inicio Real]]+Tabla15[[#This Row],[Duracion Real (dia)]])</f>
        <v>46073</v>
      </c>
      <c r="M207" s="16">
        <v>10</v>
      </c>
      <c r="N207" s="19" t="s">
        <v>160</v>
      </c>
      <c r="O207" s="13">
        <v>212746.05</v>
      </c>
      <c r="P207" s="13">
        <v>11538.5</v>
      </c>
      <c r="Q207" s="13">
        <v>224284.55</v>
      </c>
      <c r="R207" s="13">
        <v>226592.25</v>
      </c>
      <c r="S207" s="13">
        <v>276569.86499999999</v>
      </c>
      <c r="T207" s="13">
        <v>276569.86499999999</v>
      </c>
    </row>
    <row r="208" spans="1:20" hidden="1">
      <c r="A208" s="9" t="str">
        <f>CONCATENATE($A$207,".",B208)</f>
        <v>2.1.13.1.1</v>
      </c>
      <c r="B208" s="9">
        <f>IF(B207=" ",1,B207+1)</f>
        <v>1</v>
      </c>
      <c r="C208" s="10" t="s">
        <v>275</v>
      </c>
      <c r="D208" s="11" t="s">
        <v>119</v>
      </c>
      <c r="E208" s="11" t="s">
        <v>29</v>
      </c>
      <c r="F208" s="15" t="str">
        <f>IF(Tabla15[[#This Row],[Columna1]]="","actividad","subactividad")</f>
        <v>subactividad</v>
      </c>
      <c r="G208" s="12"/>
      <c r="H208" s="19">
        <f t="shared" si="19"/>
        <v>46059</v>
      </c>
      <c r="I208" s="19">
        <f>IF(Tabla15[[#This Row],[Duracion ideal (dia)]]="",I207,Tabla15[[#This Row],[Inicio ideal]]+Tabla15[[#This Row],[Duracion ideal (dia)]])</f>
        <v>46059</v>
      </c>
      <c r="J208" s="12"/>
      <c r="K208" s="19">
        <f>IF(Tabla15[[#This Row],[Duracion Real (dia)]]="",K207,L207)</f>
        <v>46063</v>
      </c>
      <c r="L208" s="19">
        <f>IF(Tabla15[[#This Row],[Duracion Real (dia)]]="",L207,Tabla15[[#This Row],[Inicio Real]]+Tabla15[[#This Row],[Duracion Real (dia)]])</f>
        <v>46073</v>
      </c>
      <c r="M208" s="12"/>
      <c r="N208" s="19" t="s">
        <v>35</v>
      </c>
      <c r="O208" s="13" t="s">
        <v>35</v>
      </c>
      <c r="P208" s="13" t="s">
        <v>35</v>
      </c>
      <c r="Q208" s="13" t="s">
        <v>35</v>
      </c>
      <c r="R208" s="13" t="s">
        <v>35</v>
      </c>
      <c r="S208" s="13" t="s">
        <v>35</v>
      </c>
      <c r="T208" s="13" t="s">
        <v>35</v>
      </c>
    </row>
    <row r="209" spans="1:20" hidden="1">
      <c r="A209" s="9" t="str">
        <f>CONCATENATE($A$207,".",B209)</f>
        <v>2.1.13.1.2</v>
      </c>
      <c r="B209" s="9">
        <f>IF(B208=" ",1,B208+1)</f>
        <v>2</v>
      </c>
      <c r="C209" s="20" t="s">
        <v>276</v>
      </c>
      <c r="D209" s="15" t="s">
        <v>119</v>
      </c>
      <c r="E209" s="15" t="s">
        <v>29</v>
      </c>
      <c r="F209" s="15" t="str">
        <f>IF(Tabla15[[#This Row],[Columna1]]="","actividad","subactividad")</f>
        <v>subactividad</v>
      </c>
      <c r="G209" s="16"/>
      <c r="H209" s="19">
        <f t="shared" si="19"/>
        <v>46059</v>
      </c>
      <c r="I209" s="19">
        <f>IF(Tabla15[[#This Row],[Duracion ideal (dia)]]="",I208,Tabla15[[#This Row],[Inicio ideal]]+Tabla15[[#This Row],[Duracion ideal (dia)]])</f>
        <v>46059</v>
      </c>
      <c r="J209" s="16"/>
      <c r="K209" s="19">
        <f>IF(Tabla15[[#This Row],[Duracion Real (dia)]]="",K208,L208)</f>
        <v>46063</v>
      </c>
      <c r="L209" s="19">
        <f>IF(Tabla15[[#This Row],[Duracion Real (dia)]]="",L208,Tabla15[[#This Row],[Inicio Real]]+Tabla15[[#This Row],[Duracion Real (dia)]])</f>
        <v>46073</v>
      </c>
      <c r="M209" s="16"/>
      <c r="N209" s="19" t="s">
        <v>35</v>
      </c>
      <c r="O209" s="13" t="s">
        <v>35</v>
      </c>
      <c r="P209" s="13" t="s">
        <v>35</v>
      </c>
      <c r="Q209" s="13" t="s">
        <v>35</v>
      </c>
      <c r="R209" s="13" t="s">
        <v>35</v>
      </c>
      <c r="S209" s="13" t="s">
        <v>35</v>
      </c>
      <c r="T209" s="13" t="s">
        <v>35</v>
      </c>
    </row>
    <row r="210" spans="1:20" hidden="1">
      <c r="A210" s="9" t="str">
        <f>CONCATENATE($A$207,".",B210)</f>
        <v>2.1.13.1.3</v>
      </c>
      <c r="B210" s="9">
        <f>IF(B209=" ",1,B209+1)</f>
        <v>3</v>
      </c>
      <c r="C210" s="10" t="s">
        <v>277</v>
      </c>
      <c r="D210" s="11" t="s">
        <v>119</v>
      </c>
      <c r="E210" s="11" t="s">
        <v>29</v>
      </c>
      <c r="F210" s="15" t="str">
        <f>IF(Tabla15[[#This Row],[Columna1]]="","actividad","subactividad")</f>
        <v>subactividad</v>
      </c>
      <c r="G210" s="12"/>
      <c r="H210" s="19">
        <f t="shared" si="19"/>
        <v>46059</v>
      </c>
      <c r="I210" s="19">
        <f>IF(Tabla15[[#This Row],[Duracion ideal (dia)]]="",I209,Tabla15[[#This Row],[Inicio ideal]]+Tabla15[[#This Row],[Duracion ideal (dia)]])</f>
        <v>46059</v>
      </c>
      <c r="J210" s="12"/>
      <c r="K210" s="19">
        <f>IF(Tabla15[[#This Row],[Duracion Real (dia)]]="",K209,L209)</f>
        <v>46063</v>
      </c>
      <c r="L210" s="19">
        <f>IF(Tabla15[[#This Row],[Duracion Real (dia)]]="",L209,Tabla15[[#This Row],[Inicio Real]]+Tabla15[[#This Row],[Duracion Real (dia)]])</f>
        <v>46073</v>
      </c>
      <c r="M210" s="12"/>
      <c r="N210" s="19" t="s">
        <v>35</v>
      </c>
      <c r="O210" s="13" t="s">
        <v>35</v>
      </c>
      <c r="P210" s="13" t="s">
        <v>35</v>
      </c>
      <c r="Q210" s="13" t="s">
        <v>35</v>
      </c>
      <c r="R210" s="13" t="s">
        <v>35</v>
      </c>
      <c r="S210" s="13" t="s">
        <v>35</v>
      </c>
      <c r="T210" s="13" t="s">
        <v>35</v>
      </c>
    </row>
    <row r="211" spans="1:20">
      <c r="A211" s="9" t="s">
        <v>278</v>
      </c>
      <c r="B211" s="9"/>
      <c r="C211" s="21" t="s">
        <v>279</v>
      </c>
      <c r="D211" s="15" t="s">
        <v>119</v>
      </c>
      <c r="E211" s="15" t="s">
        <v>29</v>
      </c>
      <c r="F211" s="15" t="str">
        <f>IF(Tabla15[[#This Row],[Columna1]]="","actividad","subactividad")</f>
        <v>actividad</v>
      </c>
      <c r="G211" s="16" t="s">
        <v>209</v>
      </c>
      <c r="H211" s="19">
        <f t="shared" si="19"/>
        <v>46059</v>
      </c>
      <c r="I211" s="19">
        <f>IF(Tabla15[[#This Row],[Duracion ideal (dia)]]="",I210,Tabla15[[#This Row],[Inicio ideal]]+Tabla15[[#This Row],[Duracion ideal (dia)]])</f>
        <v>46060</v>
      </c>
      <c r="J211" s="16">
        <v>1</v>
      </c>
      <c r="K211" s="19">
        <f>IF(Tabla15[[#This Row],[Duracion Real (dia)]]="",K210,L210)</f>
        <v>46073</v>
      </c>
      <c r="L211" s="19">
        <f>IF(Tabla15[[#This Row],[Duracion Real (dia)]]="",L210,Tabla15[[#This Row],[Inicio Real]]+Tabla15[[#This Row],[Duracion Real (dia)]])</f>
        <v>46075</v>
      </c>
      <c r="M211" s="16">
        <v>2</v>
      </c>
      <c r="N211" s="19" t="s">
        <v>88</v>
      </c>
      <c r="O211" s="13">
        <v>212746.05</v>
      </c>
      <c r="P211" s="13">
        <v>1246.1500000000001</v>
      </c>
      <c r="Q211" s="13">
        <v>213992.19999999998</v>
      </c>
      <c r="R211" s="13">
        <v>213899.9</v>
      </c>
      <c r="S211" s="13">
        <v>276569.86499999999</v>
      </c>
      <c r="T211" s="13">
        <v>276569.86499999999</v>
      </c>
    </row>
    <row r="212" spans="1:20" hidden="1">
      <c r="A212" s="9" t="str">
        <f t="shared" ref="A212:A222" si="28">CONCATENATE($A$211,".",B212)</f>
        <v>2.1.13.2.1</v>
      </c>
      <c r="B212" s="9">
        <f t="shared" ref="B212:B222" si="29">IF(B211=" ",1,B211+1)</f>
        <v>1</v>
      </c>
      <c r="C212" s="10" t="s">
        <v>280</v>
      </c>
      <c r="D212" s="11" t="s">
        <v>119</v>
      </c>
      <c r="E212" s="11" t="s">
        <v>29</v>
      </c>
      <c r="F212" s="15" t="str">
        <f>IF(Tabla15[[#This Row],[Columna1]]="","actividad","subactividad")</f>
        <v>subactividad</v>
      </c>
      <c r="G212" s="12"/>
      <c r="H212" s="19">
        <f t="shared" si="19"/>
        <v>46060</v>
      </c>
      <c r="I212" s="19">
        <f>IF(Tabla15[[#This Row],[Duracion ideal (dia)]]="",I211,Tabla15[[#This Row],[Inicio ideal]]+Tabla15[[#This Row],[Duracion ideal (dia)]])</f>
        <v>46060</v>
      </c>
      <c r="J212" s="12"/>
      <c r="K212" s="19">
        <f>IF(Tabla15[[#This Row],[Duracion Real (dia)]]="",K211,L211)</f>
        <v>46073</v>
      </c>
      <c r="L212" s="19">
        <f>IF(Tabla15[[#This Row],[Duracion Real (dia)]]="",L211,Tabla15[[#This Row],[Inicio Real]]+Tabla15[[#This Row],[Duracion Real (dia)]])</f>
        <v>46075</v>
      </c>
      <c r="M212" s="12"/>
      <c r="N212" s="19" t="s">
        <v>35</v>
      </c>
      <c r="O212" s="13" t="s">
        <v>35</v>
      </c>
      <c r="P212" s="13" t="s">
        <v>35</v>
      </c>
      <c r="Q212" s="13" t="s">
        <v>35</v>
      </c>
      <c r="R212" s="13" t="s">
        <v>35</v>
      </c>
      <c r="S212" s="13" t="s">
        <v>35</v>
      </c>
      <c r="T212" s="13" t="s">
        <v>35</v>
      </c>
    </row>
    <row r="213" spans="1:20" hidden="1">
      <c r="A213" s="9" t="str">
        <f t="shared" si="28"/>
        <v>2.1.13.2.2</v>
      </c>
      <c r="B213" s="9">
        <f t="shared" si="29"/>
        <v>2</v>
      </c>
      <c r="C213" s="20" t="s">
        <v>281</v>
      </c>
      <c r="D213" s="15" t="s">
        <v>119</v>
      </c>
      <c r="E213" s="15" t="s">
        <v>29</v>
      </c>
      <c r="F213" s="15" t="str">
        <f>IF(Tabla15[[#This Row],[Columna1]]="","actividad","subactividad")</f>
        <v>subactividad</v>
      </c>
      <c r="G213" s="16"/>
      <c r="H213" s="19">
        <f t="shared" si="19"/>
        <v>46060</v>
      </c>
      <c r="I213" s="19">
        <f>IF(Tabla15[[#This Row],[Duracion ideal (dia)]]="",I212,Tabla15[[#This Row],[Inicio ideal]]+Tabla15[[#This Row],[Duracion ideal (dia)]])</f>
        <v>46060</v>
      </c>
      <c r="J213" s="16"/>
      <c r="K213" s="19">
        <f>IF(Tabla15[[#This Row],[Duracion Real (dia)]]="",K212,L212)</f>
        <v>46073</v>
      </c>
      <c r="L213" s="19">
        <f>IF(Tabla15[[#This Row],[Duracion Real (dia)]]="",L212,Tabla15[[#This Row],[Inicio Real]]+Tabla15[[#This Row],[Duracion Real (dia)]])</f>
        <v>46075</v>
      </c>
      <c r="M213" s="16"/>
      <c r="N213" s="19" t="s">
        <v>35</v>
      </c>
      <c r="O213" s="13" t="s">
        <v>35</v>
      </c>
      <c r="P213" s="13" t="s">
        <v>35</v>
      </c>
      <c r="Q213" s="13" t="s">
        <v>35</v>
      </c>
      <c r="R213" s="13" t="s">
        <v>35</v>
      </c>
      <c r="S213" s="13" t="s">
        <v>35</v>
      </c>
      <c r="T213" s="13" t="s">
        <v>35</v>
      </c>
    </row>
    <row r="214" spans="1:20" hidden="1">
      <c r="A214" s="9" t="str">
        <f t="shared" si="28"/>
        <v>2.1.13.2.3</v>
      </c>
      <c r="B214" s="9">
        <f t="shared" si="29"/>
        <v>3</v>
      </c>
      <c r="C214" s="10" t="s">
        <v>282</v>
      </c>
      <c r="D214" s="11" t="s">
        <v>119</v>
      </c>
      <c r="E214" s="11" t="s">
        <v>29</v>
      </c>
      <c r="F214" s="15" t="str">
        <f>IF(Tabla15[[#This Row],[Columna1]]="","actividad","subactividad")</f>
        <v>subactividad</v>
      </c>
      <c r="G214" s="12"/>
      <c r="H214" s="19">
        <f t="shared" si="19"/>
        <v>46060</v>
      </c>
      <c r="I214" s="19">
        <f>IF(Tabla15[[#This Row],[Duracion ideal (dia)]]="",I213,Tabla15[[#This Row],[Inicio ideal]]+Tabla15[[#This Row],[Duracion ideal (dia)]])</f>
        <v>46060</v>
      </c>
      <c r="J214" s="12"/>
      <c r="K214" s="19">
        <f>IF(Tabla15[[#This Row],[Duracion Real (dia)]]="",K213,L213)</f>
        <v>46073</v>
      </c>
      <c r="L214" s="19">
        <f>IF(Tabla15[[#This Row],[Duracion Real (dia)]]="",L213,Tabla15[[#This Row],[Inicio Real]]+Tabla15[[#This Row],[Duracion Real (dia)]])</f>
        <v>46075</v>
      </c>
      <c r="M214" s="12"/>
      <c r="N214" s="19" t="s">
        <v>35</v>
      </c>
      <c r="O214" s="13" t="s">
        <v>35</v>
      </c>
      <c r="P214" s="13" t="s">
        <v>35</v>
      </c>
      <c r="Q214" s="13" t="s">
        <v>35</v>
      </c>
      <c r="R214" s="13" t="s">
        <v>35</v>
      </c>
      <c r="S214" s="13" t="s">
        <v>35</v>
      </c>
      <c r="T214" s="13" t="s">
        <v>35</v>
      </c>
    </row>
    <row r="215" spans="1:20" hidden="1">
      <c r="A215" s="9" t="str">
        <f t="shared" si="28"/>
        <v>2.1.13.2.4</v>
      </c>
      <c r="B215" s="9">
        <f t="shared" si="29"/>
        <v>4</v>
      </c>
      <c r="C215" s="20" t="s">
        <v>283</v>
      </c>
      <c r="D215" s="15" t="s">
        <v>119</v>
      </c>
      <c r="E215" s="15" t="s">
        <v>29</v>
      </c>
      <c r="F215" s="15" t="str">
        <f>IF(Tabla15[[#This Row],[Columna1]]="","actividad","subactividad")</f>
        <v>subactividad</v>
      </c>
      <c r="G215" s="16"/>
      <c r="H215" s="19">
        <f t="shared" si="19"/>
        <v>46060</v>
      </c>
      <c r="I215" s="19">
        <f>IF(Tabla15[[#This Row],[Duracion ideal (dia)]]="",I214,Tabla15[[#This Row],[Inicio ideal]]+Tabla15[[#This Row],[Duracion ideal (dia)]])</f>
        <v>46060</v>
      </c>
      <c r="J215" s="16"/>
      <c r="K215" s="19">
        <f>IF(Tabla15[[#This Row],[Duracion Real (dia)]]="",K214,L214)</f>
        <v>46073</v>
      </c>
      <c r="L215" s="19">
        <f>IF(Tabla15[[#This Row],[Duracion Real (dia)]]="",L214,Tabla15[[#This Row],[Inicio Real]]+Tabla15[[#This Row],[Duracion Real (dia)]])</f>
        <v>46075</v>
      </c>
      <c r="M215" s="16"/>
      <c r="N215" s="19" t="s">
        <v>35</v>
      </c>
      <c r="O215" s="13" t="s">
        <v>35</v>
      </c>
      <c r="P215" s="13" t="s">
        <v>35</v>
      </c>
      <c r="Q215" s="13" t="s">
        <v>35</v>
      </c>
      <c r="R215" s="13" t="s">
        <v>35</v>
      </c>
      <c r="S215" s="13" t="s">
        <v>35</v>
      </c>
      <c r="T215" s="13" t="s">
        <v>35</v>
      </c>
    </row>
    <row r="216" spans="1:20" hidden="1">
      <c r="A216" s="9" t="str">
        <f t="shared" si="28"/>
        <v>2.1.13.2.5</v>
      </c>
      <c r="B216" s="9">
        <f t="shared" si="29"/>
        <v>5</v>
      </c>
      <c r="C216" s="10" t="s">
        <v>284</v>
      </c>
      <c r="D216" s="11" t="s">
        <v>119</v>
      </c>
      <c r="E216" s="11" t="s">
        <v>29</v>
      </c>
      <c r="F216" s="15" t="str">
        <f>IF(Tabla15[[#This Row],[Columna1]]="","actividad","subactividad")</f>
        <v>subactividad</v>
      </c>
      <c r="G216" s="12"/>
      <c r="H216" s="19">
        <f t="shared" si="19"/>
        <v>46060</v>
      </c>
      <c r="I216" s="19">
        <f>IF(Tabla15[[#This Row],[Duracion ideal (dia)]]="",I215,Tabla15[[#This Row],[Inicio ideal]]+Tabla15[[#This Row],[Duracion ideal (dia)]])</f>
        <v>46060</v>
      </c>
      <c r="J216" s="12"/>
      <c r="K216" s="19">
        <f>IF(Tabla15[[#This Row],[Duracion Real (dia)]]="",K215,L215)</f>
        <v>46073</v>
      </c>
      <c r="L216" s="19">
        <f>IF(Tabla15[[#This Row],[Duracion Real (dia)]]="",L215,Tabla15[[#This Row],[Inicio Real]]+Tabla15[[#This Row],[Duracion Real (dia)]])</f>
        <v>46075</v>
      </c>
      <c r="M216" s="12"/>
      <c r="N216" s="19" t="s">
        <v>35</v>
      </c>
      <c r="O216" s="13" t="s">
        <v>35</v>
      </c>
      <c r="P216" s="13" t="s">
        <v>35</v>
      </c>
      <c r="Q216" s="13" t="s">
        <v>35</v>
      </c>
      <c r="R216" s="13" t="s">
        <v>35</v>
      </c>
      <c r="S216" s="13" t="s">
        <v>35</v>
      </c>
      <c r="T216" s="13" t="s">
        <v>35</v>
      </c>
    </row>
    <row r="217" spans="1:20" hidden="1">
      <c r="A217" s="9" t="str">
        <f t="shared" si="28"/>
        <v>2.1.13.2.6</v>
      </c>
      <c r="B217" s="9">
        <f t="shared" si="29"/>
        <v>6</v>
      </c>
      <c r="C217" s="20" t="s">
        <v>285</v>
      </c>
      <c r="D217" s="15" t="s">
        <v>119</v>
      </c>
      <c r="E217" s="15" t="s">
        <v>29</v>
      </c>
      <c r="F217" s="15" t="str">
        <f>IF(Tabla15[[#This Row],[Columna1]]="","actividad","subactividad")</f>
        <v>subactividad</v>
      </c>
      <c r="G217" s="16"/>
      <c r="H217" s="19">
        <f t="shared" si="19"/>
        <v>46060</v>
      </c>
      <c r="I217" s="19">
        <f>IF(Tabla15[[#This Row],[Duracion ideal (dia)]]="",I216,Tabla15[[#This Row],[Inicio ideal]]+Tabla15[[#This Row],[Duracion ideal (dia)]])</f>
        <v>46060</v>
      </c>
      <c r="J217" s="16"/>
      <c r="K217" s="19">
        <f>IF(Tabla15[[#This Row],[Duracion Real (dia)]]="",K216,L216)</f>
        <v>46073</v>
      </c>
      <c r="L217" s="19">
        <f>IF(Tabla15[[#This Row],[Duracion Real (dia)]]="",L216,Tabla15[[#This Row],[Inicio Real]]+Tabla15[[#This Row],[Duracion Real (dia)]])</f>
        <v>46075</v>
      </c>
      <c r="M217" s="16"/>
      <c r="N217" s="19" t="s">
        <v>35</v>
      </c>
      <c r="O217" s="13" t="s">
        <v>35</v>
      </c>
      <c r="P217" s="13" t="s">
        <v>35</v>
      </c>
      <c r="Q217" s="13" t="s">
        <v>35</v>
      </c>
      <c r="R217" s="13" t="s">
        <v>35</v>
      </c>
      <c r="S217" s="13" t="s">
        <v>35</v>
      </c>
      <c r="T217" s="13" t="s">
        <v>35</v>
      </c>
    </row>
    <row r="218" spans="1:20" hidden="1">
      <c r="A218" s="9" t="str">
        <f t="shared" si="28"/>
        <v>2.1.13.2.7</v>
      </c>
      <c r="B218" s="9">
        <f t="shared" si="29"/>
        <v>7</v>
      </c>
      <c r="C218" s="10" t="s">
        <v>286</v>
      </c>
      <c r="D218" s="11" t="s">
        <v>119</v>
      </c>
      <c r="E218" s="11" t="s">
        <v>29</v>
      </c>
      <c r="F218" s="15" t="str">
        <f>IF(Tabla15[[#This Row],[Columna1]]="","actividad","subactividad")</f>
        <v>subactividad</v>
      </c>
      <c r="G218" s="12"/>
      <c r="H218" s="19">
        <f t="shared" si="19"/>
        <v>46060</v>
      </c>
      <c r="I218" s="19">
        <f>IF(Tabla15[[#This Row],[Duracion ideal (dia)]]="",I217,Tabla15[[#This Row],[Inicio ideal]]+Tabla15[[#This Row],[Duracion ideal (dia)]])</f>
        <v>46060</v>
      </c>
      <c r="J218" s="12"/>
      <c r="K218" s="19">
        <f>IF(Tabla15[[#This Row],[Duracion Real (dia)]]="",K217,L217)</f>
        <v>46073</v>
      </c>
      <c r="L218" s="19">
        <f>IF(Tabla15[[#This Row],[Duracion Real (dia)]]="",L217,Tabla15[[#This Row],[Inicio Real]]+Tabla15[[#This Row],[Duracion Real (dia)]])</f>
        <v>46075</v>
      </c>
      <c r="M218" s="12"/>
      <c r="N218" s="19" t="s">
        <v>35</v>
      </c>
      <c r="O218" s="13" t="s">
        <v>35</v>
      </c>
      <c r="P218" s="13" t="s">
        <v>35</v>
      </c>
      <c r="Q218" s="13" t="s">
        <v>35</v>
      </c>
      <c r="R218" s="13" t="s">
        <v>35</v>
      </c>
      <c r="S218" s="13" t="s">
        <v>35</v>
      </c>
      <c r="T218" s="13" t="s">
        <v>35</v>
      </c>
    </row>
    <row r="219" spans="1:20" hidden="1">
      <c r="A219" s="9" t="str">
        <f t="shared" si="28"/>
        <v>2.1.13.2.8</v>
      </c>
      <c r="B219" s="9">
        <f t="shared" si="29"/>
        <v>8</v>
      </c>
      <c r="C219" s="20" t="s">
        <v>287</v>
      </c>
      <c r="D219" s="15" t="s">
        <v>119</v>
      </c>
      <c r="E219" s="15" t="s">
        <v>29</v>
      </c>
      <c r="F219" s="15" t="str">
        <f>IF(Tabla15[[#This Row],[Columna1]]="","actividad","subactividad")</f>
        <v>subactividad</v>
      </c>
      <c r="G219" s="16"/>
      <c r="H219" s="19">
        <f t="shared" si="19"/>
        <v>46060</v>
      </c>
      <c r="I219" s="19">
        <f>IF(Tabla15[[#This Row],[Duracion ideal (dia)]]="",I218,Tabla15[[#This Row],[Inicio ideal]]+Tabla15[[#This Row],[Duracion ideal (dia)]])</f>
        <v>46060</v>
      </c>
      <c r="J219" s="16"/>
      <c r="K219" s="19">
        <f>IF(Tabla15[[#This Row],[Duracion Real (dia)]]="",K218,L218)</f>
        <v>46073</v>
      </c>
      <c r="L219" s="19">
        <f>IF(Tabla15[[#This Row],[Duracion Real (dia)]]="",L218,Tabla15[[#This Row],[Inicio Real]]+Tabla15[[#This Row],[Duracion Real (dia)]])</f>
        <v>46075</v>
      </c>
      <c r="M219" s="16"/>
      <c r="N219" s="19" t="s">
        <v>35</v>
      </c>
      <c r="O219" s="13" t="s">
        <v>35</v>
      </c>
      <c r="P219" s="13" t="s">
        <v>35</v>
      </c>
      <c r="Q219" s="13" t="s">
        <v>35</v>
      </c>
      <c r="R219" s="13" t="s">
        <v>35</v>
      </c>
      <c r="S219" s="13" t="s">
        <v>35</v>
      </c>
      <c r="T219" s="13" t="s">
        <v>35</v>
      </c>
    </row>
    <row r="220" spans="1:20" hidden="1">
      <c r="A220" s="9" t="str">
        <f t="shared" si="28"/>
        <v>2.1.13.2.9</v>
      </c>
      <c r="B220" s="9">
        <f t="shared" si="29"/>
        <v>9</v>
      </c>
      <c r="C220" s="10" t="s">
        <v>288</v>
      </c>
      <c r="D220" s="11" t="s">
        <v>119</v>
      </c>
      <c r="E220" s="11" t="s">
        <v>29</v>
      </c>
      <c r="F220" s="15" t="str">
        <f>IF(Tabla15[[#This Row],[Columna1]]="","actividad","subactividad")</f>
        <v>subactividad</v>
      </c>
      <c r="G220" s="12"/>
      <c r="H220" s="19">
        <f t="shared" si="19"/>
        <v>46060</v>
      </c>
      <c r="I220" s="19">
        <f>IF(Tabla15[[#This Row],[Duracion ideal (dia)]]="",I219,Tabla15[[#This Row],[Inicio ideal]]+Tabla15[[#This Row],[Duracion ideal (dia)]])</f>
        <v>46060</v>
      </c>
      <c r="J220" s="12"/>
      <c r="K220" s="19">
        <f>IF(Tabla15[[#This Row],[Duracion Real (dia)]]="",K219,L219)</f>
        <v>46073</v>
      </c>
      <c r="L220" s="19">
        <f>IF(Tabla15[[#This Row],[Duracion Real (dia)]]="",L219,Tabla15[[#This Row],[Inicio Real]]+Tabla15[[#This Row],[Duracion Real (dia)]])</f>
        <v>46075</v>
      </c>
      <c r="M220" s="12"/>
      <c r="N220" s="19" t="s">
        <v>35</v>
      </c>
      <c r="O220" s="13" t="s">
        <v>35</v>
      </c>
      <c r="P220" s="13" t="s">
        <v>35</v>
      </c>
      <c r="Q220" s="13" t="s">
        <v>35</v>
      </c>
      <c r="R220" s="13" t="s">
        <v>35</v>
      </c>
      <c r="S220" s="13" t="s">
        <v>35</v>
      </c>
      <c r="T220" s="13" t="s">
        <v>35</v>
      </c>
    </row>
    <row r="221" spans="1:20" hidden="1">
      <c r="A221" s="9" t="str">
        <f t="shared" si="28"/>
        <v>2.1.13.2.10</v>
      </c>
      <c r="B221" s="9">
        <f t="shared" si="29"/>
        <v>10</v>
      </c>
      <c r="C221" s="20" t="s">
        <v>289</v>
      </c>
      <c r="D221" s="15" t="s">
        <v>119</v>
      </c>
      <c r="E221" s="15" t="s">
        <v>29</v>
      </c>
      <c r="F221" s="15" t="str">
        <f>IF(Tabla15[[#This Row],[Columna1]]="","actividad","subactividad")</f>
        <v>subactividad</v>
      </c>
      <c r="G221" s="16"/>
      <c r="H221" s="19">
        <f t="shared" si="19"/>
        <v>46060</v>
      </c>
      <c r="I221" s="19">
        <f>IF(Tabla15[[#This Row],[Duracion ideal (dia)]]="",I220,Tabla15[[#This Row],[Inicio ideal]]+Tabla15[[#This Row],[Duracion ideal (dia)]])</f>
        <v>46060</v>
      </c>
      <c r="J221" s="16"/>
      <c r="K221" s="19">
        <f>IF(Tabla15[[#This Row],[Duracion Real (dia)]]="",K220,L220)</f>
        <v>46073</v>
      </c>
      <c r="L221" s="19">
        <f>IF(Tabla15[[#This Row],[Duracion Real (dia)]]="",L220,Tabla15[[#This Row],[Inicio Real]]+Tabla15[[#This Row],[Duracion Real (dia)]])</f>
        <v>46075</v>
      </c>
      <c r="M221" s="16"/>
      <c r="N221" s="19" t="s">
        <v>35</v>
      </c>
      <c r="O221" s="13" t="s">
        <v>35</v>
      </c>
      <c r="P221" s="13" t="s">
        <v>35</v>
      </c>
      <c r="Q221" s="13" t="s">
        <v>35</v>
      </c>
      <c r="R221" s="13" t="s">
        <v>35</v>
      </c>
      <c r="S221" s="13" t="s">
        <v>35</v>
      </c>
      <c r="T221" s="13" t="s">
        <v>35</v>
      </c>
    </row>
    <row r="222" spans="1:20" hidden="1">
      <c r="A222" s="9" t="str">
        <f t="shared" si="28"/>
        <v>2.1.13.2.11</v>
      </c>
      <c r="B222" s="9">
        <f t="shared" si="29"/>
        <v>11</v>
      </c>
      <c r="C222" s="10" t="s">
        <v>290</v>
      </c>
      <c r="D222" s="11" t="s">
        <v>119</v>
      </c>
      <c r="E222" s="11" t="s">
        <v>29</v>
      </c>
      <c r="F222" s="15" t="str">
        <f>IF(Tabla15[[#This Row],[Columna1]]="","actividad","subactividad")</f>
        <v>subactividad</v>
      </c>
      <c r="G222" s="12"/>
      <c r="H222" s="19">
        <f t="shared" si="19"/>
        <v>46060</v>
      </c>
      <c r="I222" s="19">
        <f>IF(Tabla15[[#This Row],[Duracion ideal (dia)]]="",I221,Tabla15[[#This Row],[Inicio ideal]]+Tabla15[[#This Row],[Duracion ideal (dia)]])</f>
        <v>46060</v>
      </c>
      <c r="J222" s="12"/>
      <c r="K222" s="19">
        <f>IF(Tabla15[[#This Row],[Duracion Real (dia)]]="",K221,L221)</f>
        <v>46073</v>
      </c>
      <c r="L222" s="19">
        <f>IF(Tabla15[[#This Row],[Duracion Real (dia)]]="",L221,Tabla15[[#This Row],[Inicio Real]]+Tabla15[[#This Row],[Duracion Real (dia)]])</f>
        <v>46075</v>
      </c>
      <c r="M222" s="12"/>
      <c r="N222" s="19" t="s">
        <v>35</v>
      </c>
      <c r="O222" s="13" t="s">
        <v>35</v>
      </c>
      <c r="P222" s="13" t="s">
        <v>35</v>
      </c>
      <c r="Q222" s="13" t="s">
        <v>35</v>
      </c>
      <c r="R222" s="13" t="s">
        <v>35</v>
      </c>
      <c r="S222" s="13" t="s">
        <v>35</v>
      </c>
      <c r="T222" s="13" t="s">
        <v>35</v>
      </c>
    </row>
    <row r="223" spans="1:20">
      <c r="A223" s="9" t="s">
        <v>291</v>
      </c>
      <c r="B223" s="9"/>
      <c r="C223" s="21" t="s">
        <v>292</v>
      </c>
      <c r="D223" s="15" t="s">
        <v>119</v>
      </c>
      <c r="E223" s="15" t="s">
        <v>29</v>
      </c>
      <c r="F223" s="15" t="str">
        <f>IF(Tabla15[[#This Row],[Columna1]]="","actividad","subactividad")</f>
        <v>actividad</v>
      </c>
      <c r="G223" s="16" t="s">
        <v>209</v>
      </c>
      <c r="H223" s="19">
        <f t="shared" si="19"/>
        <v>46060</v>
      </c>
      <c r="I223" s="19">
        <f>IF(Tabla15[[#This Row],[Duracion ideal (dia)]]="",I222,Tabla15[[#This Row],[Inicio ideal]]+Tabla15[[#This Row],[Duracion ideal (dia)]])</f>
        <v>46061</v>
      </c>
      <c r="J223" s="16">
        <v>1</v>
      </c>
      <c r="K223" s="19">
        <f>IF(Tabla15[[#This Row],[Duracion Real (dia)]]="",K222,L222)</f>
        <v>46075</v>
      </c>
      <c r="L223" s="19">
        <f>IF(Tabla15[[#This Row],[Duracion Real (dia)]]="",L222,Tabla15[[#This Row],[Inicio Real]]+Tabla15[[#This Row],[Duracion Real (dia)]])</f>
        <v>46076</v>
      </c>
      <c r="M223" s="16">
        <v>1</v>
      </c>
      <c r="N223" s="19" t="s">
        <v>88</v>
      </c>
      <c r="O223" s="13">
        <v>212746.05</v>
      </c>
      <c r="P223" s="13">
        <v>1384.62</v>
      </c>
      <c r="Q223" s="13">
        <v>214130.66999999998</v>
      </c>
      <c r="R223" s="13">
        <v>213899.9</v>
      </c>
      <c r="S223" s="13">
        <v>276569.86499999999</v>
      </c>
      <c r="T223" s="13">
        <v>276569.86499999999</v>
      </c>
    </row>
    <row r="224" spans="1:20" hidden="1">
      <c r="A224" s="9" t="str">
        <f t="shared" ref="A224:A230" si="30">CONCATENATE($A$223,".",B224)</f>
        <v>2.1.13.3.1</v>
      </c>
      <c r="B224" s="9">
        <f t="shared" ref="B224:B230" si="31">IF(B223=" ",1,B223+1)</f>
        <v>1</v>
      </c>
      <c r="C224" s="10" t="s">
        <v>293</v>
      </c>
      <c r="D224" s="11" t="s">
        <v>119</v>
      </c>
      <c r="E224" s="11" t="s">
        <v>29</v>
      </c>
      <c r="F224" s="15" t="str">
        <f>IF(Tabla15[[#This Row],[Columna1]]="","actividad","subactividad")</f>
        <v>subactividad</v>
      </c>
      <c r="G224" s="12"/>
      <c r="H224" s="19">
        <f t="shared" si="19"/>
        <v>46061</v>
      </c>
      <c r="I224" s="19">
        <f>IF(Tabla15[[#This Row],[Duracion ideal (dia)]]="",I223,Tabla15[[#This Row],[Inicio ideal]]+Tabla15[[#This Row],[Duracion ideal (dia)]])</f>
        <v>46061</v>
      </c>
      <c r="J224" s="12"/>
      <c r="K224" s="19">
        <f>IF(Tabla15[[#This Row],[Duracion Real (dia)]]="",K223,L223)</f>
        <v>46075</v>
      </c>
      <c r="L224" s="19">
        <f>IF(Tabla15[[#This Row],[Duracion Real (dia)]]="",L223,Tabla15[[#This Row],[Inicio Real]]+Tabla15[[#This Row],[Duracion Real (dia)]])</f>
        <v>46076</v>
      </c>
      <c r="M224" s="12"/>
      <c r="N224" s="19" t="s">
        <v>35</v>
      </c>
      <c r="O224" s="13" t="s">
        <v>35</v>
      </c>
      <c r="P224" s="13" t="s">
        <v>35</v>
      </c>
      <c r="Q224" s="13" t="s">
        <v>35</v>
      </c>
      <c r="R224" s="13" t="s">
        <v>35</v>
      </c>
      <c r="S224" s="13" t="s">
        <v>35</v>
      </c>
      <c r="T224" s="13" t="s">
        <v>35</v>
      </c>
    </row>
    <row r="225" spans="1:20" hidden="1">
      <c r="A225" s="9" t="str">
        <f t="shared" si="30"/>
        <v>2.1.13.3.2</v>
      </c>
      <c r="B225" s="9">
        <f t="shared" si="31"/>
        <v>2</v>
      </c>
      <c r="C225" s="20" t="s">
        <v>294</v>
      </c>
      <c r="D225" s="15" t="s">
        <v>119</v>
      </c>
      <c r="E225" s="15" t="s">
        <v>29</v>
      </c>
      <c r="F225" s="15" t="str">
        <f>IF(Tabla15[[#This Row],[Columna1]]="","actividad","subactividad")</f>
        <v>subactividad</v>
      </c>
      <c r="G225" s="16"/>
      <c r="H225" s="19">
        <f t="shared" si="19"/>
        <v>46061</v>
      </c>
      <c r="I225" s="19">
        <f>IF(Tabla15[[#This Row],[Duracion ideal (dia)]]="",I224,Tabla15[[#This Row],[Inicio ideal]]+Tabla15[[#This Row],[Duracion ideal (dia)]])</f>
        <v>46061</v>
      </c>
      <c r="J225" s="16"/>
      <c r="K225" s="19">
        <f>IF(Tabla15[[#This Row],[Duracion Real (dia)]]="",K224,L224)</f>
        <v>46075</v>
      </c>
      <c r="L225" s="19">
        <f>IF(Tabla15[[#This Row],[Duracion Real (dia)]]="",L224,Tabla15[[#This Row],[Inicio Real]]+Tabla15[[#This Row],[Duracion Real (dia)]])</f>
        <v>46076</v>
      </c>
      <c r="M225" s="16"/>
      <c r="N225" s="19" t="s">
        <v>35</v>
      </c>
      <c r="O225" s="13" t="s">
        <v>35</v>
      </c>
      <c r="P225" s="13" t="s">
        <v>35</v>
      </c>
      <c r="Q225" s="13" t="s">
        <v>35</v>
      </c>
      <c r="R225" s="13" t="s">
        <v>35</v>
      </c>
      <c r="S225" s="13" t="s">
        <v>35</v>
      </c>
      <c r="T225" s="13" t="s">
        <v>35</v>
      </c>
    </row>
    <row r="226" spans="1:20" hidden="1">
      <c r="A226" s="9" t="str">
        <f t="shared" si="30"/>
        <v>2.1.13.3.3</v>
      </c>
      <c r="B226" s="9">
        <f t="shared" si="31"/>
        <v>3</v>
      </c>
      <c r="C226" s="10" t="s">
        <v>295</v>
      </c>
      <c r="D226" s="11" t="s">
        <v>119</v>
      </c>
      <c r="E226" s="11" t="s">
        <v>29</v>
      </c>
      <c r="F226" s="15" t="str">
        <f>IF(Tabla15[[#This Row],[Columna1]]="","actividad","subactividad")</f>
        <v>subactividad</v>
      </c>
      <c r="G226" s="12"/>
      <c r="H226" s="19">
        <f t="shared" si="19"/>
        <v>46061</v>
      </c>
      <c r="I226" s="19">
        <f>IF(Tabla15[[#This Row],[Duracion ideal (dia)]]="",I225,Tabla15[[#This Row],[Inicio ideal]]+Tabla15[[#This Row],[Duracion ideal (dia)]])</f>
        <v>46061</v>
      </c>
      <c r="J226" s="12"/>
      <c r="K226" s="19">
        <f>IF(Tabla15[[#This Row],[Duracion Real (dia)]]="",K225,L225)</f>
        <v>46075</v>
      </c>
      <c r="L226" s="19">
        <f>IF(Tabla15[[#This Row],[Duracion Real (dia)]]="",L225,Tabla15[[#This Row],[Inicio Real]]+Tabla15[[#This Row],[Duracion Real (dia)]])</f>
        <v>46076</v>
      </c>
      <c r="M226" s="12"/>
      <c r="N226" s="19" t="s">
        <v>35</v>
      </c>
      <c r="O226" s="13" t="s">
        <v>35</v>
      </c>
      <c r="P226" s="13" t="s">
        <v>35</v>
      </c>
      <c r="Q226" s="13" t="s">
        <v>35</v>
      </c>
      <c r="R226" s="13" t="s">
        <v>35</v>
      </c>
      <c r="S226" s="13" t="s">
        <v>35</v>
      </c>
      <c r="T226" s="13" t="s">
        <v>35</v>
      </c>
    </row>
    <row r="227" spans="1:20" hidden="1">
      <c r="A227" s="9" t="str">
        <f t="shared" si="30"/>
        <v>2.1.13.3.4</v>
      </c>
      <c r="B227" s="9">
        <f t="shared" si="31"/>
        <v>4</v>
      </c>
      <c r="C227" s="20" t="s">
        <v>296</v>
      </c>
      <c r="D227" s="15" t="s">
        <v>119</v>
      </c>
      <c r="E227" s="15" t="s">
        <v>29</v>
      </c>
      <c r="F227" s="15" t="str">
        <f>IF(Tabla15[[#This Row],[Columna1]]="","actividad","subactividad")</f>
        <v>subactividad</v>
      </c>
      <c r="G227" s="16"/>
      <c r="H227" s="19">
        <f t="shared" si="19"/>
        <v>46061</v>
      </c>
      <c r="I227" s="19">
        <f>IF(Tabla15[[#This Row],[Duracion ideal (dia)]]="",I226,Tabla15[[#This Row],[Inicio ideal]]+Tabla15[[#This Row],[Duracion ideal (dia)]])</f>
        <v>46061</v>
      </c>
      <c r="J227" s="16"/>
      <c r="K227" s="19">
        <f>IF(Tabla15[[#This Row],[Duracion Real (dia)]]="",K226,L226)</f>
        <v>46075</v>
      </c>
      <c r="L227" s="19">
        <f>IF(Tabla15[[#This Row],[Duracion Real (dia)]]="",L226,Tabla15[[#This Row],[Inicio Real]]+Tabla15[[#This Row],[Duracion Real (dia)]])</f>
        <v>46076</v>
      </c>
      <c r="M227" s="16"/>
      <c r="N227" s="19" t="s">
        <v>35</v>
      </c>
      <c r="O227" s="13" t="s">
        <v>35</v>
      </c>
      <c r="P227" s="13" t="s">
        <v>35</v>
      </c>
      <c r="Q227" s="13" t="s">
        <v>35</v>
      </c>
      <c r="R227" s="13" t="s">
        <v>35</v>
      </c>
      <c r="S227" s="13" t="s">
        <v>35</v>
      </c>
      <c r="T227" s="13" t="s">
        <v>35</v>
      </c>
    </row>
    <row r="228" spans="1:20" hidden="1">
      <c r="A228" s="9" t="str">
        <f t="shared" si="30"/>
        <v>2.1.13.3.5</v>
      </c>
      <c r="B228" s="9">
        <f t="shared" si="31"/>
        <v>5</v>
      </c>
      <c r="C228" s="10" t="s">
        <v>297</v>
      </c>
      <c r="D228" s="11" t="s">
        <v>119</v>
      </c>
      <c r="E228" s="11" t="s">
        <v>29</v>
      </c>
      <c r="F228" s="15" t="str">
        <f>IF(Tabla15[[#This Row],[Columna1]]="","actividad","subactividad")</f>
        <v>subactividad</v>
      </c>
      <c r="G228" s="12"/>
      <c r="H228" s="19">
        <f t="shared" si="19"/>
        <v>46061</v>
      </c>
      <c r="I228" s="19">
        <f>IF(Tabla15[[#This Row],[Duracion ideal (dia)]]="",I227,Tabla15[[#This Row],[Inicio ideal]]+Tabla15[[#This Row],[Duracion ideal (dia)]])</f>
        <v>46061</v>
      </c>
      <c r="J228" s="12"/>
      <c r="K228" s="19">
        <f>IF(Tabla15[[#This Row],[Duracion Real (dia)]]="",K227,L227)</f>
        <v>46075</v>
      </c>
      <c r="L228" s="19">
        <f>IF(Tabla15[[#This Row],[Duracion Real (dia)]]="",L227,Tabla15[[#This Row],[Inicio Real]]+Tabla15[[#This Row],[Duracion Real (dia)]])</f>
        <v>46076</v>
      </c>
      <c r="M228" s="12"/>
      <c r="N228" s="19" t="s">
        <v>35</v>
      </c>
      <c r="O228" s="13" t="s">
        <v>35</v>
      </c>
      <c r="P228" s="13" t="s">
        <v>35</v>
      </c>
      <c r="Q228" s="13" t="s">
        <v>35</v>
      </c>
      <c r="R228" s="13" t="s">
        <v>35</v>
      </c>
      <c r="S228" s="13" t="s">
        <v>35</v>
      </c>
      <c r="T228" s="13" t="s">
        <v>35</v>
      </c>
    </row>
    <row r="229" spans="1:20" hidden="1">
      <c r="A229" s="9" t="str">
        <f t="shared" si="30"/>
        <v>2.1.13.3.6</v>
      </c>
      <c r="B229" s="9">
        <f t="shared" si="31"/>
        <v>6</v>
      </c>
      <c r="C229" s="20" t="s">
        <v>298</v>
      </c>
      <c r="D229" s="15" t="s">
        <v>119</v>
      </c>
      <c r="E229" s="15" t="s">
        <v>29</v>
      </c>
      <c r="F229" s="15" t="str">
        <f>IF(Tabla15[[#This Row],[Columna1]]="","actividad","subactividad")</f>
        <v>subactividad</v>
      </c>
      <c r="G229" s="16"/>
      <c r="H229" s="19">
        <f t="shared" si="19"/>
        <v>46061</v>
      </c>
      <c r="I229" s="19">
        <f>IF(Tabla15[[#This Row],[Duracion ideal (dia)]]="",I228,Tabla15[[#This Row],[Inicio ideal]]+Tabla15[[#This Row],[Duracion ideal (dia)]])</f>
        <v>46061</v>
      </c>
      <c r="J229" s="16"/>
      <c r="K229" s="19">
        <f>IF(Tabla15[[#This Row],[Duracion Real (dia)]]="",K228,L228)</f>
        <v>46075</v>
      </c>
      <c r="L229" s="19">
        <f>IF(Tabla15[[#This Row],[Duracion Real (dia)]]="",L228,Tabla15[[#This Row],[Inicio Real]]+Tabla15[[#This Row],[Duracion Real (dia)]])</f>
        <v>46076</v>
      </c>
      <c r="M229" s="16"/>
      <c r="N229" s="19" t="s">
        <v>35</v>
      </c>
      <c r="O229" s="13" t="s">
        <v>35</v>
      </c>
      <c r="P229" s="13" t="s">
        <v>35</v>
      </c>
      <c r="Q229" s="13" t="s">
        <v>35</v>
      </c>
      <c r="R229" s="13" t="s">
        <v>35</v>
      </c>
      <c r="S229" s="13" t="s">
        <v>35</v>
      </c>
      <c r="T229" s="13" t="s">
        <v>35</v>
      </c>
    </row>
    <row r="230" spans="1:20" hidden="1">
      <c r="A230" s="9" t="str">
        <f t="shared" si="30"/>
        <v>2.1.13.3.7</v>
      </c>
      <c r="B230" s="9">
        <f t="shared" si="31"/>
        <v>7</v>
      </c>
      <c r="C230" s="10" t="s">
        <v>299</v>
      </c>
      <c r="D230" s="11" t="s">
        <v>119</v>
      </c>
      <c r="E230" s="11" t="s">
        <v>29</v>
      </c>
      <c r="F230" s="15" t="str">
        <f>IF(Tabla15[[#This Row],[Columna1]]="","actividad","subactividad")</f>
        <v>subactividad</v>
      </c>
      <c r="G230" s="12"/>
      <c r="H230" s="19">
        <f t="shared" si="19"/>
        <v>46061</v>
      </c>
      <c r="I230" s="19">
        <f>IF(Tabla15[[#This Row],[Duracion ideal (dia)]]="",I229,Tabla15[[#This Row],[Inicio ideal]]+Tabla15[[#This Row],[Duracion ideal (dia)]])</f>
        <v>46061</v>
      </c>
      <c r="J230" s="12"/>
      <c r="K230" s="19">
        <f>IF(Tabla15[[#This Row],[Duracion Real (dia)]]="",K229,L229)</f>
        <v>46075</v>
      </c>
      <c r="L230" s="19">
        <f>IF(Tabla15[[#This Row],[Duracion Real (dia)]]="",L229,Tabla15[[#This Row],[Inicio Real]]+Tabla15[[#This Row],[Duracion Real (dia)]])</f>
        <v>46076</v>
      </c>
      <c r="M230" s="12"/>
      <c r="N230" s="19" t="s">
        <v>35</v>
      </c>
      <c r="O230" s="13" t="s">
        <v>35</v>
      </c>
      <c r="P230" s="13" t="s">
        <v>35</v>
      </c>
      <c r="Q230" s="13" t="s">
        <v>35</v>
      </c>
      <c r="R230" s="13" t="s">
        <v>35</v>
      </c>
      <c r="S230" s="13" t="s">
        <v>35</v>
      </c>
      <c r="T230" s="13" t="s">
        <v>35</v>
      </c>
    </row>
    <row r="231" spans="1:20">
      <c r="A231" s="9" t="s">
        <v>300</v>
      </c>
      <c r="B231" s="9"/>
      <c r="C231" s="21" t="s">
        <v>301</v>
      </c>
      <c r="D231" s="15" t="s">
        <v>119</v>
      </c>
      <c r="E231" s="15" t="s">
        <v>29</v>
      </c>
      <c r="F231" s="15" t="str">
        <f>IF(Tabla15[[#This Row],[Columna1]]="","actividad","subactividad")</f>
        <v>actividad</v>
      </c>
      <c r="G231" s="16" t="s">
        <v>209</v>
      </c>
      <c r="H231" s="19">
        <f t="shared" si="19"/>
        <v>46061</v>
      </c>
      <c r="I231" s="19">
        <f>IF(Tabla15[[#This Row],[Duracion ideal (dia)]]="",I230,Tabla15[[#This Row],[Inicio ideal]]+Tabla15[[#This Row],[Duracion ideal (dia)]])</f>
        <v>46065</v>
      </c>
      <c r="J231" s="16">
        <v>4</v>
      </c>
      <c r="K231" s="19">
        <f>IF(Tabla15[[#This Row],[Duracion Real (dia)]]="",K230,L230)</f>
        <v>46076</v>
      </c>
      <c r="L231" s="19">
        <f>IF(Tabla15[[#This Row],[Duracion Real (dia)]]="",L230,Tabla15[[#This Row],[Inicio Real]]+Tabla15[[#This Row],[Duracion Real (dia)]])</f>
        <v>46080</v>
      </c>
      <c r="M231" s="16">
        <v>4</v>
      </c>
      <c r="N231" s="19" t="s">
        <v>69</v>
      </c>
      <c r="O231" s="13">
        <v>212746.05</v>
      </c>
      <c r="P231" s="13">
        <v>4984.6000000000004</v>
      </c>
      <c r="Q231" s="13">
        <v>217730.65</v>
      </c>
      <c r="R231" s="13">
        <v>219207.56999999998</v>
      </c>
      <c r="S231" s="13">
        <v>276569.86499999999</v>
      </c>
      <c r="T231" s="13">
        <v>276569.86499999999</v>
      </c>
    </row>
    <row r="232" spans="1:20" hidden="1">
      <c r="A232" s="9" t="str">
        <f t="shared" ref="A232:A238" si="32">CONCATENATE($A$231,".",B232)</f>
        <v>2.1.13.4.1</v>
      </c>
      <c r="B232" s="9">
        <f t="shared" ref="B232:B238" si="33">IF(B231=" ",1,B231+1)</f>
        <v>1</v>
      </c>
      <c r="C232" s="10" t="s">
        <v>302</v>
      </c>
      <c r="D232" s="11" t="s">
        <v>119</v>
      </c>
      <c r="E232" s="11" t="s">
        <v>29</v>
      </c>
      <c r="F232" s="15" t="str">
        <f>IF(Tabla15[[#This Row],[Columna1]]="","actividad","subactividad")</f>
        <v>subactividad</v>
      </c>
      <c r="G232" s="12"/>
      <c r="H232" s="19">
        <f t="shared" si="19"/>
        <v>46065</v>
      </c>
      <c r="I232" s="19">
        <f>IF(Tabla15[[#This Row],[Duracion ideal (dia)]]="",I231,Tabla15[[#This Row],[Inicio ideal]]+Tabla15[[#This Row],[Duracion ideal (dia)]])</f>
        <v>46065</v>
      </c>
      <c r="J232" s="12"/>
      <c r="K232" s="19">
        <f>IF(Tabla15[[#This Row],[Duracion Real (dia)]]="",K231,L231)</f>
        <v>46076</v>
      </c>
      <c r="L232" s="19">
        <f>IF(Tabla15[[#This Row],[Duracion Real (dia)]]="",L231,Tabla15[[#This Row],[Inicio Real]]+Tabla15[[#This Row],[Duracion Real (dia)]])</f>
        <v>46080</v>
      </c>
      <c r="M232" s="12"/>
      <c r="N232" s="19" t="s">
        <v>35</v>
      </c>
      <c r="O232" s="13" t="s">
        <v>35</v>
      </c>
      <c r="P232" s="13" t="s">
        <v>35</v>
      </c>
      <c r="Q232" s="13" t="s">
        <v>35</v>
      </c>
      <c r="R232" s="13" t="s">
        <v>35</v>
      </c>
      <c r="S232" s="13" t="s">
        <v>35</v>
      </c>
      <c r="T232" s="13" t="s">
        <v>35</v>
      </c>
    </row>
    <row r="233" spans="1:20" hidden="1">
      <c r="A233" s="9" t="str">
        <f t="shared" si="32"/>
        <v>2.1.13.4.2</v>
      </c>
      <c r="B233" s="9">
        <f t="shared" si="33"/>
        <v>2</v>
      </c>
      <c r="C233" s="20" t="s">
        <v>303</v>
      </c>
      <c r="D233" s="15" t="s">
        <v>119</v>
      </c>
      <c r="E233" s="15" t="s">
        <v>29</v>
      </c>
      <c r="F233" s="15" t="str">
        <f>IF(Tabla15[[#This Row],[Columna1]]="","actividad","subactividad")</f>
        <v>subactividad</v>
      </c>
      <c r="G233" s="16"/>
      <c r="H233" s="19">
        <f t="shared" si="19"/>
        <v>46065</v>
      </c>
      <c r="I233" s="19">
        <f>IF(Tabla15[[#This Row],[Duracion ideal (dia)]]="",I232,Tabla15[[#This Row],[Inicio ideal]]+Tabla15[[#This Row],[Duracion ideal (dia)]])</f>
        <v>46065</v>
      </c>
      <c r="J233" s="16"/>
      <c r="K233" s="19">
        <f>IF(Tabla15[[#This Row],[Duracion Real (dia)]]="",K232,L232)</f>
        <v>46076</v>
      </c>
      <c r="L233" s="19">
        <f>IF(Tabla15[[#This Row],[Duracion Real (dia)]]="",L232,Tabla15[[#This Row],[Inicio Real]]+Tabla15[[#This Row],[Duracion Real (dia)]])</f>
        <v>46080</v>
      </c>
      <c r="M233" s="16"/>
      <c r="N233" s="19" t="s">
        <v>35</v>
      </c>
      <c r="O233" s="13" t="s">
        <v>35</v>
      </c>
      <c r="P233" s="13" t="s">
        <v>35</v>
      </c>
      <c r="Q233" s="13" t="s">
        <v>35</v>
      </c>
      <c r="R233" s="13" t="s">
        <v>35</v>
      </c>
      <c r="S233" s="13" t="s">
        <v>35</v>
      </c>
      <c r="T233" s="13" t="s">
        <v>35</v>
      </c>
    </row>
    <row r="234" spans="1:20" hidden="1">
      <c r="A234" s="9" t="str">
        <f t="shared" si="32"/>
        <v>2.1.13.4.3</v>
      </c>
      <c r="B234" s="9">
        <f t="shared" si="33"/>
        <v>3</v>
      </c>
      <c r="C234" s="10" t="s">
        <v>304</v>
      </c>
      <c r="D234" s="11" t="s">
        <v>119</v>
      </c>
      <c r="E234" s="11" t="s">
        <v>29</v>
      </c>
      <c r="F234" s="15" t="str">
        <f>IF(Tabla15[[#This Row],[Columna1]]="","actividad","subactividad")</f>
        <v>subactividad</v>
      </c>
      <c r="G234" s="12"/>
      <c r="H234" s="19">
        <f t="shared" ref="H234:H297" si="34">I233</f>
        <v>46065</v>
      </c>
      <c r="I234" s="19">
        <f>IF(Tabla15[[#This Row],[Duracion ideal (dia)]]="",I233,Tabla15[[#This Row],[Inicio ideal]]+Tabla15[[#This Row],[Duracion ideal (dia)]])</f>
        <v>46065</v>
      </c>
      <c r="J234" s="12"/>
      <c r="K234" s="19">
        <f>IF(Tabla15[[#This Row],[Duracion Real (dia)]]="",K233,L233)</f>
        <v>46076</v>
      </c>
      <c r="L234" s="19">
        <f>IF(Tabla15[[#This Row],[Duracion Real (dia)]]="",L233,Tabla15[[#This Row],[Inicio Real]]+Tabla15[[#This Row],[Duracion Real (dia)]])</f>
        <v>46080</v>
      </c>
      <c r="M234" s="12"/>
      <c r="N234" s="19" t="s">
        <v>35</v>
      </c>
      <c r="O234" s="13" t="s">
        <v>35</v>
      </c>
      <c r="P234" s="13" t="s">
        <v>35</v>
      </c>
      <c r="Q234" s="13" t="s">
        <v>35</v>
      </c>
      <c r="R234" s="13" t="s">
        <v>35</v>
      </c>
      <c r="S234" s="13" t="s">
        <v>35</v>
      </c>
      <c r="T234" s="13" t="s">
        <v>35</v>
      </c>
    </row>
    <row r="235" spans="1:20" hidden="1">
      <c r="A235" s="9" t="str">
        <f t="shared" si="32"/>
        <v>2.1.13.4.4</v>
      </c>
      <c r="B235" s="9">
        <f t="shared" si="33"/>
        <v>4</v>
      </c>
      <c r="C235" s="20" t="s">
        <v>305</v>
      </c>
      <c r="D235" s="15" t="s">
        <v>119</v>
      </c>
      <c r="E235" s="15" t="s">
        <v>29</v>
      </c>
      <c r="F235" s="15" t="str">
        <f>IF(Tabla15[[#This Row],[Columna1]]="","actividad","subactividad")</f>
        <v>subactividad</v>
      </c>
      <c r="G235" s="16"/>
      <c r="H235" s="19">
        <f t="shared" si="34"/>
        <v>46065</v>
      </c>
      <c r="I235" s="19">
        <f>IF(Tabla15[[#This Row],[Duracion ideal (dia)]]="",I234,Tabla15[[#This Row],[Inicio ideal]]+Tabla15[[#This Row],[Duracion ideal (dia)]])</f>
        <v>46065</v>
      </c>
      <c r="J235" s="16"/>
      <c r="K235" s="19">
        <f>IF(Tabla15[[#This Row],[Duracion Real (dia)]]="",K234,L234)</f>
        <v>46076</v>
      </c>
      <c r="L235" s="19">
        <f>IF(Tabla15[[#This Row],[Duracion Real (dia)]]="",L234,Tabla15[[#This Row],[Inicio Real]]+Tabla15[[#This Row],[Duracion Real (dia)]])</f>
        <v>46080</v>
      </c>
      <c r="M235" s="16"/>
      <c r="N235" s="19" t="s">
        <v>35</v>
      </c>
      <c r="O235" s="13" t="s">
        <v>35</v>
      </c>
      <c r="P235" s="13" t="s">
        <v>35</v>
      </c>
      <c r="Q235" s="13" t="s">
        <v>35</v>
      </c>
      <c r="R235" s="13" t="s">
        <v>35</v>
      </c>
      <c r="S235" s="13" t="s">
        <v>35</v>
      </c>
      <c r="T235" s="13" t="s">
        <v>35</v>
      </c>
    </row>
    <row r="236" spans="1:20" hidden="1">
      <c r="A236" s="9" t="str">
        <f t="shared" si="32"/>
        <v>2.1.13.4.5</v>
      </c>
      <c r="B236" s="9">
        <f t="shared" si="33"/>
        <v>5</v>
      </c>
      <c r="C236" s="10" t="s">
        <v>306</v>
      </c>
      <c r="D236" s="11" t="s">
        <v>119</v>
      </c>
      <c r="E236" s="11" t="s">
        <v>29</v>
      </c>
      <c r="F236" s="15" t="str">
        <f>IF(Tabla15[[#This Row],[Columna1]]="","actividad","subactividad")</f>
        <v>subactividad</v>
      </c>
      <c r="G236" s="12"/>
      <c r="H236" s="19">
        <f t="shared" si="34"/>
        <v>46065</v>
      </c>
      <c r="I236" s="19">
        <f>IF(Tabla15[[#This Row],[Duracion ideal (dia)]]="",I235,Tabla15[[#This Row],[Inicio ideal]]+Tabla15[[#This Row],[Duracion ideal (dia)]])</f>
        <v>46065</v>
      </c>
      <c r="J236" s="12"/>
      <c r="K236" s="19">
        <f>IF(Tabla15[[#This Row],[Duracion Real (dia)]]="",K235,L235)</f>
        <v>46076</v>
      </c>
      <c r="L236" s="19">
        <f>IF(Tabla15[[#This Row],[Duracion Real (dia)]]="",L235,Tabla15[[#This Row],[Inicio Real]]+Tabla15[[#This Row],[Duracion Real (dia)]])</f>
        <v>46080</v>
      </c>
      <c r="M236" s="12"/>
      <c r="N236" s="19" t="s">
        <v>35</v>
      </c>
      <c r="O236" s="13" t="s">
        <v>35</v>
      </c>
      <c r="P236" s="13" t="s">
        <v>35</v>
      </c>
      <c r="Q236" s="13" t="s">
        <v>35</v>
      </c>
      <c r="R236" s="13" t="s">
        <v>35</v>
      </c>
      <c r="S236" s="13" t="s">
        <v>35</v>
      </c>
      <c r="T236" s="13" t="s">
        <v>35</v>
      </c>
    </row>
    <row r="237" spans="1:20" hidden="1">
      <c r="A237" s="9" t="str">
        <f t="shared" si="32"/>
        <v>2.1.13.4.6</v>
      </c>
      <c r="B237" s="9">
        <f t="shared" si="33"/>
        <v>6</v>
      </c>
      <c r="C237" s="20" t="s">
        <v>307</v>
      </c>
      <c r="D237" s="15" t="s">
        <v>119</v>
      </c>
      <c r="E237" s="15" t="s">
        <v>29</v>
      </c>
      <c r="F237" s="15" t="str">
        <f>IF(Tabla15[[#This Row],[Columna1]]="","actividad","subactividad")</f>
        <v>subactividad</v>
      </c>
      <c r="G237" s="16"/>
      <c r="H237" s="19">
        <f t="shared" si="34"/>
        <v>46065</v>
      </c>
      <c r="I237" s="19">
        <f>IF(Tabla15[[#This Row],[Duracion ideal (dia)]]="",I236,Tabla15[[#This Row],[Inicio ideal]]+Tabla15[[#This Row],[Duracion ideal (dia)]])</f>
        <v>46065</v>
      </c>
      <c r="J237" s="16"/>
      <c r="K237" s="19">
        <f>IF(Tabla15[[#This Row],[Duracion Real (dia)]]="",K236,L236)</f>
        <v>46076</v>
      </c>
      <c r="L237" s="19">
        <f>IF(Tabla15[[#This Row],[Duracion Real (dia)]]="",L236,Tabla15[[#This Row],[Inicio Real]]+Tabla15[[#This Row],[Duracion Real (dia)]])</f>
        <v>46080</v>
      </c>
      <c r="M237" s="16"/>
      <c r="N237" s="19" t="s">
        <v>35</v>
      </c>
      <c r="O237" s="13" t="s">
        <v>35</v>
      </c>
      <c r="P237" s="13" t="s">
        <v>35</v>
      </c>
      <c r="Q237" s="13" t="s">
        <v>35</v>
      </c>
      <c r="R237" s="13" t="s">
        <v>35</v>
      </c>
      <c r="S237" s="13" t="s">
        <v>35</v>
      </c>
      <c r="T237" s="13" t="s">
        <v>35</v>
      </c>
    </row>
    <row r="238" spans="1:20" hidden="1">
      <c r="A238" s="9" t="str">
        <f t="shared" si="32"/>
        <v>2.1.13.4.7</v>
      </c>
      <c r="B238" s="9">
        <f t="shared" si="33"/>
        <v>7</v>
      </c>
      <c r="C238" s="10" t="s">
        <v>308</v>
      </c>
      <c r="D238" s="11" t="s">
        <v>119</v>
      </c>
      <c r="E238" s="11" t="s">
        <v>29</v>
      </c>
      <c r="F238" s="15" t="str">
        <f>IF(Tabla15[[#This Row],[Columna1]]="","actividad","subactividad")</f>
        <v>subactividad</v>
      </c>
      <c r="G238" s="12"/>
      <c r="H238" s="19">
        <f t="shared" si="34"/>
        <v>46065</v>
      </c>
      <c r="I238" s="19">
        <f>IF(Tabla15[[#This Row],[Duracion ideal (dia)]]="",I237,Tabla15[[#This Row],[Inicio ideal]]+Tabla15[[#This Row],[Duracion ideal (dia)]])</f>
        <v>46065</v>
      </c>
      <c r="J238" s="12"/>
      <c r="K238" s="19">
        <f>IF(Tabla15[[#This Row],[Duracion Real (dia)]]="",K237,L237)</f>
        <v>46076</v>
      </c>
      <c r="L238" s="19">
        <f>IF(Tabla15[[#This Row],[Duracion Real (dia)]]="",L237,Tabla15[[#This Row],[Inicio Real]]+Tabla15[[#This Row],[Duracion Real (dia)]])</f>
        <v>46080</v>
      </c>
      <c r="M238" s="12"/>
      <c r="N238" s="19" t="s">
        <v>35</v>
      </c>
      <c r="O238" s="13" t="s">
        <v>35</v>
      </c>
      <c r="P238" s="13" t="s">
        <v>35</v>
      </c>
      <c r="Q238" s="13" t="s">
        <v>35</v>
      </c>
      <c r="R238" s="13" t="s">
        <v>35</v>
      </c>
      <c r="S238" s="13" t="s">
        <v>35</v>
      </c>
      <c r="T238" s="13" t="s">
        <v>35</v>
      </c>
    </row>
    <row r="239" spans="1:20">
      <c r="A239" s="9" t="s">
        <v>309</v>
      </c>
      <c r="B239" s="9"/>
      <c r="C239" s="21" t="s">
        <v>310</v>
      </c>
      <c r="D239" s="15" t="s">
        <v>119</v>
      </c>
      <c r="E239" s="15" t="s">
        <v>29</v>
      </c>
      <c r="F239" s="15" t="str">
        <f>IF(Tabla15[[#This Row],[Columna1]]="","actividad","subactividad")</f>
        <v>actividad</v>
      </c>
      <c r="G239" s="16" t="s">
        <v>209</v>
      </c>
      <c r="H239" s="19">
        <f t="shared" si="34"/>
        <v>46065</v>
      </c>
      <c r="I239" s="19">
        <f>IF(Tabla15[[#This Row],[Duracion ideal (dia)]]="",I238,Tabla15[[#This Row],[Inicio ideal]]+Tabla15[[#This Row],[Duracion ideal (dia)]])</f>
        <v>46066</v>
      </c>
      <c r="J239" s="16">
        <v>1</v>
      </c>
      <c r="K239" s="19">
        <f>IF(Tabla15[[#This Row],[Duracion Real (dia)]]="",K238,L238)</f>
        <v>46080</v>
      </c>
      <c r="L239" s="19">
        <f>IF(Tabla15[[#This Row],[Duracion Real (dia)]]="",L238,Tabla15[[#This Row],[Inicio Real]]+Tabla15[[#This Row],[Duracion Real (dia)]])</f>
        <v>46081</v>
      </c>
      <c r="M239" s="16">
        <v>1</v>
      </c>
      <c r="N239" s="19" t="s">
        <v>160</v>
      </c>
      <c r="O239" s="13">
        <v>212746.05</v>
      </c>
      <c r="P239" s="13">
        <v>1246.1500000000001</v>
      </c>
      <c r="Q239" s="13">
        <v>213992.19999999998</v>
      </c>
      <c r="R239" s="13">
        <v>214130.66999999998</v>
      </c>
      <c r="S239" s="13">
        <v>276569.86499999999</v>
      </c>
      <c r="T239" s="13">
        <v>276569.86499999999</v>
      </c>
    </row>
    <row r="240" spans="1:20" hidden="1">
      <c r="A240" s="9" t="str">
        <f t="shared" ref="A240:A246" si="35">CONCATENATE($A$239,".",B240)</f>
        <v>2.1.13.5.1</v>
      </c>
      <c r="B240" s="9">
        <f t="shared" ref="B240:B246" si="36">IF(B239=" ",1,B239+1)</f>
        <v>1</v>
      </c>
      <c r="C240" s="10" t="s">
        <v>311</v>
      </c>
      <c r="D240" s="11" t="s">
        <v>119</v>
      </c>
      <c r="E240" s="11" t="s">
        <v>29</v>
      </c>
      <c r="F240" s="15" t="str">
        <f>IF(Tabla15[[#This Row],[Columna1]]="","actividad","subactividad")</f>
        <v>subactividad</v>
      </c>
      <c r="G240" s="12"/>
      <c r="H240" s="19">
        <f t="shared" si="34"/>
        <v>46066</v>
      </c>
      <c r="I240" s="19">
        <f>IF(Tabla15[[#This Row],[Duracion ideal (dia)]]="",I239,Tabla15[[#This Row],[Inicio ideal]]+Tabla15[[#This Row],[Duracion ideal (dia)]])</f>
        <v>46066</v>
      </c>
      <c r="J240" s="12"/>
      <c r="K240" s="19">
        <f>IF(Tabla15[[#This Row],[Duracion Real (dia)]]="",K239,L239)</f>
        <v>46080</v>
      </c>
      <c r="L240" s="19">
        <f>IF(Tabla15[[#This Row],[Duracion Real (dia)]]="",L239,Tabla15[[#This Row],[Inicio Real]]+Tabla15[[#This Row],[Duracion Real (dia)]])</f>
        <v>46081</v>
      </c>
      <c r="M240" s="12"/>
      <c r="N240" s="19" t="s">
        <v>35</v>
      </c>
      <c r="O240" s="13" t="s">
        <v>35</v>
      </c>
      <c r="P240" s="13" t="s">
        <v>35</v>
      </c>
      <c r="Q240" s="13" t="s">
        <v>35</v>
      </c>
      <c r="R240" s="13" t="s">
        <v>35</v>
      </c>
      <c r="S240" s="13" t="s">
        <v>35</v>
      </c>
      <c r="T240" s="13" t="s">
        <v>35</v>
      </c>
    </row>
    <row r="241" spans="1:20" hidden="1">
      <c r="A241" s="9" t="str">
        <f t="shared" si="35"/>
        <v>2.1.13.5.2</v>
      </c>
      <c r="B241" s="9">
        <f t="shared" si="36"/>
        <v>2</v>
      </c>
      <c r="C241" s="20" t="s">
        <v>312</v>
      </c>
      <c r="D241" s="15" t="s">
        <v>119</v>
      </c>
      <c r="E241" s="15" t="s">
        <v>29</v>
      </c>
      <c r="F241" s="15" t="str">
        <f>IF(Tabla15[[#This Row],[Columna1]]="","actividad","subactividad")</f>
        <v>subactividad</v>
      </c>
      <c r="G241" s="16"/>
      <c r="H241" s="19">
        <f t="shared" si="34"/>
        <v>46066</v>
      </c>
      <c r="I241" s="19">
        <f>IF(Tabla15[[#This Row],[Duracion ideal (dia)]]="",I240,Tabla15[[#This Row],[Inicio ideal]]+Tabla15[[#This Row],[Duracion ideal (dia)]])</f>
        <v>46066</v>
      </c>
      <c r="J241" s="16"/>
      <c r="K241" s="19">
        <f>IF(Tabla15[[#This Row],[Duracion Real (dia)]]="",K240,L240)</f>
        <v>46080</v>
      </c>
      <c r="L241" s="19">
        <f>IF(Tabla15[[#This Row],[Duracion Real (dia)]]="",L240,Tabla15[[#This Row],[Inicio Real]]+Tabla15[[#This Row],[Duracion Real (dia)]])</f>
        <v>46081</v>
      </c>
      <c r="M241" s="16"/>
      <c r="N241" s="19" t="s">
        <v>35</v>
      </c>
      <c r="O241" s="13" t="s">
        <v>35</v>
      </c>
      <c r="P241" s="13" t="s">
        <v>35</v>
      </c>
      <c r="Q241" s="13" t="s">
        <v>35</v>
      </c>
      <c r="R241" s="13" t="s">
        <v>35</v>
      </c>
      <c r="S241" s="13" t="s">
        <v>35</v>
      </c>
      <c r="T241" s="13" t="s">
        <v>35</v>
      </c>
    </row>
    <row r="242" spans="1:20" hidden="1">
      <c r="A242" s="9" t="str">
        <f t="shared" si="35"/>
        <v>2.1.13.5.3</v>
      </c>
      <c r="B242" s="9">
        <f t="shared" si="36"/>
        <v>3</v>
      </c>
      <c r="C242" s="10" t="s">
        <v>313</v>
      </c>
      <c r="D242" s="11" t="s">
        <v>119</v>
      </c>
      <c r="E242" s="11" t="s">
        <v>29</v>
      </c>
      <c r="F242" s="15" t="str">
        <f>IF(Tabla15[[#This Row],[Columna1]]="","actividad","subactividad")</f>
        <v>subactividad</v>
      </c>
      <c r="G242" s="12"/>
      <c r="H242" s="19">
        <f t="shared" si="34"/>
        <v>46066</v>
      </c>
      <c r="I242" s="19">
        <f>IF(Tabla15[[#This Row],[Duracion ideal (dia)]]="",I241,Tabla15[[#This Row],[Inicio ideal]]+Tabla15[[#This Row],[Duracion ideal (dia)]])</f>
        <v>46066</v>
      </c>
      <c r="J242" s="12"/>
      <c r="K242" s="19">
        <f>IF(Tabla15[[#This Row],[Duracion Real (dia)]]="",K241,L241)</f>
        <v>46080</v>
      </c>
      <c r="L242" s="19">
        <f>IF(Tabla15[[#This Row],[Duracion Real (dia)]]="",L241,Tabla15[[#This Row],[Inicio Real]]+Tabla15[[#This Row],[Duracion Real (dia)]])</f>
        <v>46081</v>
      </c>
      <c r="M242" s="12"/>
      <c r="N242" s="19" t="s">
        <v>35</v>
      </c>
      <c r="O242" s="13" t="s">
        <v>35</v>
      </c>
      <c r="P242" s="13" t="s">
        <v>35</v>
      </c>
      <c r="Q242" s="13" t="s">
        <v>35</v>
      </c>
      <c r="R242" s="13" t="s">
        <v>35</v>
      </c>
      <c r="S242" s="13" t="s">
        <v>35</v>
      </c>
      <c r="T242" s="13" t="s">
        <v>35</v>
      </c>
    </row>
    <row r="243" spans="1:20" hidden="1">
      <c r="A243" s="9" t="str">
        <f t="shared" si="35"/>
        <v>2.1.13.5.4</v>
      </c>
      <c r="B243" s="9">
        <f t="shared" si="36"/>
        <v>4</v>
      </c>
      <c r="C243" s="20" t="s">
        <v>314</v>
      </c>
      <c r="D243" s="15" t="s">
        <v>119</v>
      </c>
      <c r="E243" s="15" t="s">
        <v>29</v>
      </c>
      <c r="F243" s="15" t="str">
        <f>IF(Tabla15[[#This Row],[Columna1]]="","actividad","subactividad")</f>
        <v>subactividad</v>
      </c>
      <c r="G243" s="16"/>
      <c r="H243" s="19">
        <f t="shared" si="34"/>
        <v>46066</v>
      </c>
      <c r="I243" s="19">
        <f>IF(Tabla15[[#This Row],[Duracion ideal (dia)]]="",I242,Tabla15[[#This Row],[Inicio ideal]]+Tabla15[[#This Row],[Duracion ideal (dia)]])</f>
        <v>46066</v>
      </c>
      <c r="J243" s="16"/>
      <c r="K243" s="19">
        <f>IF(Tabla15[[#This Row],[Duracion Real (dia)]]="",K242,L242)</f>
        <v>46080</v>
      </c>
      <c r="L243" s="19">
        <f>IF(Tabla15[[#This Row],[Duracion Real (dia)]]="",L242,Tabla15[[#This Row],[Inicio Real]]+Tabla15[[#This Row],[Duracion Real (dia)]])</f>
        <v>46081</v>
      </c>
      <c r="M243" s="16"/>
      <c r="N243" s="19" t="s">
        <v>35</v>
      </c>
      <c r="O243" s="13" t="s">
        <v>35</v>
      </c>
      <c r="P243" s="13" t="s">
        <v>35</v>
      </c>
      <c r="Q243" s="13" t="s">
        <v>35</v>
      </c>
      <c r="R243" s="13" t="s">
        <v>35</v>
      </c>
      <c r="S243" s="13" t="s">
        <v>35</v>
      </c>
      <c r="T243" s="13" t="s">
        <v>35</v>
      </c>
    </row>
    <row r="244" spans="1:20" hidden="1">
      <c r="A244" s="9" t="str">
        <f t="shared" si="35"/>
        <v>2.1.13.5.5</v>
      </c>
      <c r="B244" s="9">
        <f t="shared" si="36"/>
        <v>5</v>
      </c>
      <c r="C244" s="10" t="s">
        <v>315</v>
      </c>
      <c r="D244" s="11" t="s">
        <v>119</v>
      </c>
      <c r="E244" s="11" t="s">
        <v>29</v>
      </c>
      <c r="F244" s="15" t="str">
        <f>IF(Tabla15[[#This Row],[Columna1]]="","actividad","subactividad")</f>
        <v>subactividad</v>
      </c>
      <c r="G244" s="12"/>
      <c r="H244" s="19">
        <f t="shared" si="34"/>
        <v>46066</v>
      </c>
      <c r="I244" s="19">
        <f>IF(Tabla15[[#This Row],[Duracion ideal (dia)]]="",I243,Tabla15[[#This Row],[Inicio ideal]]+Tabla15[[#This Row],[Duracion ideal (dia)]])</f>
        <v>46066</v>
      </c>
      <c r="J244" s="12"/>
      <c r="K244" s="19">
        <f>IF(Tabla15[[#This Row],[Duracion Real (dia)]]="",K243,L243)</f>
        <v>46080</v>
      </c>
      <c r="L244" s="19">
        <f>IF(Tabla15[[#This Row],[Duracion Real (dia)]]="",L243,Tabla15[[#This Row],[Inicio Real]]+Tabla15[[#This Row],[Duracion Real (dia)]])</f>
        <v>46081</v>
      </c>
      <c r="M244" s="12"/>
      <c r="N244" s="19" t="s">
        <v>35</v>
      </c>
      <c r="O244" s="13" t="s">
        <v>35</v>
      </c>
      <c r="P244" s="13" t="s">
        <v>35</v>
      </c>
      <c r="Q244" s="13" t="s">
        <v>35</v>
      </c>
      <c r="R244" s="13" t="s">
        <v>35</v>
      </c>
      <c r="S244" s="13" t="s">
        <v>35</v>
      </c>
      <c r="T244" s="13" t="s">
        <v>35</v>
      </c>
    </row>
    <row r="245" spans="1:20" hidden="1">
      <c r="A245" s="9" t="str">
        <f t="shared" si="35"/>
        <v>2.1.13.5.6</v>
      </c>
      <c r="B245" s="9">
        <f t="shared" si="36"/>
        <v>6</v>
      </c>
      <c r="C245" s="20" t="s">
        <v>316</v>
      </c>
      <c r="D245" s="15" t="s">
        <v>119</v>
      </c>
      <c r="E245" s="15" t="s">
        <v>29</v>
      </c>
      <c r="F245" s="15" t="str">
        <f>IF(Tabla15[[#This Row],[Columna1]]="","actividad","subactividad")</f>
        <v>subactividad</v>
      </c>
      <c r="G245" s="16"/>
      <c r="H245" s="19">
        <f t="shared" si="34"/>
        <v>46066</v>
      </c>
      <c r="I245" s="19">
        <f>IF(Tabla15[[#This Row],[Duracion ideal (dia)]]="",I244,Tabla15[[#This Row],[Inicio ideal]]+Tabla15[[#This Row],[Duracion ideal (dia)]])</f>
        <v>46066</v>
      </c>
      <c r="J245" s="16"/>
      <c r="K245" s="19">
        <f>IF(Tabla15[[#This Row],[Duracion Real (dia)]]="",K244,L244)</f>
        <v>46080</v>
      </c>
      <c r="L245" s="19">
        <f>IF(Tabla15[[#This Row],[Duracion Real (dia)]]="",L244,Tabla15[[#This Row],[Inicio Real]]+Tabla15[[#This Row],[Duracion Real (dia)]])</f>
        <v>46081</v>
      </c>
      <c r="M245" s="16"/>
      <c r="N245" s="19" t="s">
        <v>35</v>
      </c>
      <c r="O245" s="13" t="s">
        <v>35</v>
      </c>
      <c r="P245" s="13" t="s">
        <v>35</v>
      </c>
      <c r="Q245" s="13" t="s">
        <v>35</v>
      </c>
      <c r="R245" s="13" t="s">
        <v>35</v>
      </c>
      <c r="S245" s="13" t="s">
        <v>35</v>
      </c>
      <c r="T245" s="13" t="s">
        <v>35</v>
      </c>
    </row>
    <row r="246" spans="1:20" hidden="1">
      <c r="A246" s="9" t="str">
        <f t="shared" si="35"/>
        <v>2.1.13.5.7</v>
      </c>
      <c r="B246" s="9">
        <f t="shared" si="36"/>
        <v>7</v>
      </c>
      <c r="C246" s="10" t="s">
        <v>317</v>
      </c>
      <c r="D246" s="11" t="s">
        <v>119</v>
      </c>
      <c r="E246" s="11" t="s">
        <v>29</v>
      </c>
      <c r="F246" s="15" t="str">
        <f>IF(Tabla15[[#This Row],[Columna1]]="","actividad","subactividad")</f>
        <v>subactividad</v>
      </c>
      <c r="G246" s="12"/>
      <c r="H246" s="19">
        <f t="shared" si="34"/>
        <v>46066</v>
      </c>
      <c r="I246" s="19">
        <f>IF(Tabla15[[#This Row],[Duracion ideal (dia)]]="",I245,Tabla15[[#This Row],[Inicio ideal]]+Tabla15[[#This Row],[Duracion ideal (dia)]])</f>
        <v>46066</v>
      </c>
      <c r="J246" s="12"/>
      <c r="K246" s="19">
        <f>IF(Tabla15[[#This Row],[Duracion Real (dia)]]="",K245,L245)</f>
        <v>46080</v>
      </c>
      <c r="L246" s="19">
        <f>IF(Tabla15[[#This Row],[Duracion Real (dia)]]="",L245,Tabla15[[#This Row],[Inicio Real]]+Tabla15[[#This Row],[Duracion Real (dia)]])</f>
        <v>46081</v>
      </c>
      <c r="M246" s="12"/>
      <c r="N246" s="19" t="s">
        <v>35</v>
      </c>
      <c r="O246" s="13" t="s">
        <v>35</v>
      </c>
      <c r="P246" s="13" t="s">
        <v>35</v>
      </c>
      <c r="Q246" s="13" t="s">
        <v>35</v>
      </c>
      <c r="R246" s="13" t="s">
        <v>35</v>
      </c>
      <c r="S246" s="13" t="s">
        <v>35</v>
      </c>
      <c r="T246" s="13" t="s">
        <v>35</v>
      </c>
    </row>
    <row r="247" spans="1:20">
      <c r="A247" s="9" t="s">
        <v>318</v>
      </c>
      <c r="B247" s="9"/>
      <c r="C247" s="21" t="s">
        <v>319</v>
      </c>
      <c r="D247" s="15" t="s">
        <v>119</v>
      </c>
      <c r="E247" s="15" t="s">
        <v>29</v>
      </c>
      <c r="F247" s="15" t="str">
        <f>IF(Tabla15[[#This Row],[Columna1]]="","actividad","subactividad")</f>
        <v>actividad</v>
      </c>
      <c r="G247" s="16" t="s">
        <v>209</v>
      </c>
      <c r="H247" s="19">
        <f t="shared" si="34"/>
        <v>46066</v>
      </c>
      <c r="I247" s="19">
        <f>IF(Tabla15[[#This Row],[Duracion ideal (dia)]]="",I246,Tabla15[[#This Row],[Inicio ideal]]+Tabla15[[#This Row],[Duracion ideal (dia)]])</f>
        <v>46067</v>
      </c>
      <c r="J247" s="16">
        <v>1</v>
      </c>
      <c r="K247" s="19">
        <f>IF(Tabla15[[#This Row],[Duracion Real (dia)]]="",K246,L246)</f>
        <v>46081</v>
      </c>
      <c r="L247" s="19">
        <f>IF(Tabla15[[#This Row],[Duracion Real (dia)]]="",L246,Tabla15[[#This Row],[Inicio Real]]+Tabla15[[#This Row],[Duracion Real (dia)]])</f>
        <v>46082</v>
      </c>
      <c r="M247" s="16">
        <v>1</v>
      </c>
      <c r="N247" s="19" t="s">
        <v>69</v>
      </c>
      <c r="O247" s="13">
        <v>212746.05</v>
      </c>
      <c r="P247" s="13">
        <v>1845.15</v>
      </c>
      <c r="Q247" s="13">
        <v>214591.19999999998</v>
      </c>
      <c r="R247" s="13">
        <v>214361.43</v>
      </c>
      <c r="S247" s="13">
        <v>276569.86499999999</v>
      </c>
      <c r="T247" s="13">
        <v>276569.86499999999</v>
      </c>
    </row>
    <row r="248" spans="1:20" hidden="1">
      <c r="A248" s="9" t="str">
        <f t="shared" ref="A248:A253" si="37">CONCATENATE($A$247,".",B248)</f>
        <v>2.1.13.6.1</v>
      </c>
      <c r="B248" s="9">
        <f t="shared" ref="B248:B253" si="38">IF(B247=" ",1,B247+1)</f>
        <v>1</v>
      </c>
      <c r="C248" s="10" t="s">
        <v>320</v>
      </c>
      <c r="D248" s="11" t="s">
        <v>119</v>
      </c>
      <c r="E248" s="11" t="s">
        <v>29</v>
      </c>
      <c r="F248" s="15" t="str">
        <f>IF(Tabla15[[#This Row],[Columna1]]="","actividad","subactividad")</f>
        <v>subactividad</v>
      </c>
      <c r="G248" s="12"/>
      <c r="H248" s="19">
        <f t="shared" si="34"/>
        <v>46067</v>
      </c>
      <c r="I248" s="19">
        <f>IF(Tabla15[[#This Row],[Duracion ideal (dia)]]="",I247,Tabla15[[#This Row],[Inicio ideal]]+Tabla15[[#This Row],[Duracion ideal (dia)]])</f>
        <v>46067</v>
      </c>
      <c r="J248" s="12"/>
      <c r="K248" s="19">
        <f>IF(Tabla15[[#This Row],[Duracion Real (dia)]]="",K247,L247)</f>
        <v>46081</v>
      </c>
      <c r="L248" s="19">
        <f>IF(Tabla15[[#This Row],[Duracion Real (dia)]]="",L247,Tabla15[[#This Row],[Inicio Real]]+Tabla15[[#This Row],[Duracion Real (dia)]])</f>
        <v>46082</v>
      </c>
      <c r="M248" s="12"/>
      <c r="N248" s="19" t="s">
        <v>35</v>
      </c>
      <c r="O248" s="13" t="s">
        <v>35</v>
      </c>
      <c r="P248" s="13" t="s">
        <v>35</v>
      </c>
      <c r="Q248" s="13" t="s">
        <v>35</v>
      </c>
      <c r="R248" s="13" t="s">
        <v>35</v>
      </c>
      <c r="S248" s="13" t="s">
        <v>35</v>
      </c>
      <c r="T248" s="13" t="s">
        <v>35</v>
      </c>
    </row>
    <row r="249" spans="1:20" hidden="1">
      <c r="A249" s="9" t="str">
        <f t="shared" si="37"/>
        <v>2.1.13.6.2</v>
      </c>
      <c r="B249" s="9">
        <f t="shared" si="38"/>
        <v>2</v>
      </c>
      <c r="C249" s="20" t="s">
        <v>321</v>
      </c>
      <c r="D249" s="15" t="s">
        <v>119</v>
      </c>
      <c r="E249" s="15" t="s">
        <v>29</v>
      </c>
      <c r="F249" s="15" t="str">
        <f>IF(Tabla15[[#This Row],[Columna1]]="","actividad","subactividad")</f>
        <v>subactividad</v>
      </c>
      <c r="G249" s="16"/>
      <c r="H249" s="19">
        <f t="shared" si="34"/>
        <v>46067</v>
      </c>
      <c r="I249" s="19">
        <f>IF(Tabla15[[#This Row],[Duracion ideal (dia)]]="",I248,Tabla15[[#This Row],[Inicio ideal]]+Tabla15[[#This Row],[Duracion ideal (dia)]])</f>
        <v>46067</v>
      </c>
      <c r="J249" s="16"/>
      <c r="K249" s="19">
        <f>IF(Tabla15[[#This Row],[Duracion Real (dia)]]="",K248,L248)</f>
        <v>46081</v>
      </c>
      <c r="L249" s="19">
        <f>IF(Tabla15[[#This Row],[Duracion Real (dia)]]="",L248,Tabla15[[#This Row],[Inicio Real]]+Tabla15[[#This Row],[Duracion Real (dia)]])</f>
        <v>46082</v>
      </c>
      <c r="M249" s="16"/>
      <c r="N249" s="19" t="s">
        <v>35</v>
      </c>
      <c r="O249" s="13" t="s">
        <v>35</v>
      </c>
      <c r="P249" s="13" t="s">
        <v>35</v>
      </c>
      <c r="Q249" s="13" t="s">
        <v>35</v>
      </c>
      <c r="R249" s="13" t="s">
        <v>35</v>
      </c>
      <c r="S249" s="13" t="s">
        <v>35</v>
      </c>
      <c r="T249" s="13" t="s">
        <v>35</v>
      </c>
    </row>
    <row r="250" spans="1:20" hidden="1">
      <c r="A250" s="9" t="str">
        <f t="shared" si="37"/>
        <v>2.1.13.6.3</v>
      </c>
      <c r="B250" s="9">
        <f t="shared" si="38"/>
        <v>3</v>
      </c>
      <c r="C250" s="10" t="s">
        <v>322</v>
      </c>
      <c r="D250" s="11" t="s">
        <v>119</v>
      </c>
      <c r="E250" s="11" t="s">
        <v>29</v>
      </c>
      <c r="F250" s="15" t="str">
        <f>IF(Tabla15[[#This Row],[Columna1]]="","actividad","subactividad")</f>
        <v>subactividad</v>
      </c>
      <c r="G250" s="12"/>
      <c r="H250" s="19">
        <f t="shared" si="34"/>
        <v>46067</v>
      </c>
      <c r="I250" s="19">
        <f>IF(Tabla15[[#This Row],[Duracion ideal (dia)]]="",I249,Tabla15[[#This Row],[Inicio ideal]]+Tabla15[[#This Row],[Duracion ideal (dia)]])</f>
        <v>46067</v>
      </c>
      <c r="J250" s="12"/>
      <c r="K250" s="19">
        <f>IF(Tabla15[[#This Row],[Duracion Real (dia)]]="",K249,L249)</f>
        <v>46081</v>
      </c>
      <c r="L250" s="19">
        <f>IF(Tabla15[[#This Row],[Duracion Real (dia)]]="",L249,Tabla15[[#This Row],[Inicio Real]]+Tabla15[[#This Row],[Duracion Real (dia)]])</f>
        <v>46082</v>
      </c>
      <c r="M250" s="12"/>
      <c r="N250" s="19" t="s">
        <v>35</v>
      </c>
      <c r="O250" s="13" t="s">
        <v>35</v>
      </c>
      <c r="P250" s="13" t="s">
        <v>35</v>
      </c>
      <c r="Q250" s="13" t="s">
        <v>35</v>
      </c>
      <c r="R250" s="13" t="s">
        <v>35</v>
      </c>
      <c r="S250" s="13" t="s">
        <v>35</v>
      </c>
      <c r="T250" s="13" t="s">
        <v>35</v>
      </c>
    </row>
    <row r="251" spans="1:20" hidden="1">
      <c r="A251" s="9" t="str">
        <f t="shared" si="37"/>
        <v>2.1.13.6.4</v>
      </c>
      <c r="B251" s="9">
        <f t="shared" si="38"/>
        <v>4</v>
      </c>
      <c r="C251" s="20" t="s">
        <v>323</v>
      </c>
      <c r="D251" s="15" t="s">
        <v>119</v>
      </c>
      <c r="E251" s="15" t="s">
        <v>29</v>
      </c>
      <c r="F251" s="15" t="str">
        <f>IF(Tabla15[[#This Row],[Columna1]]="","actividad","subactividad")</f>
        <v>subactividad</v>
      </c>
      <c r="G251" s="16"/>
      <c r="H251" s="19">
        <f t="shared" si="34"/>
        <v>46067</v>
      </c>
      <c r="I251" s="19">
        <f>IF(Tabla15[[#This Row],[Duracion ideal (dia)]]="",I250,Tabla15[[#This Row],[Inicio ideal]]+Tabla15[[#This Row],[Duracion ideal (dia)]])</f>
        <v>46067</v>
      </c>
      <c r="J251" s="16"/>
      <c r="K251" s="19">
        <f>IF(Tabla15[[#This Row],[Duracion Real (dia)]]="",K250,L250)</f>
        <v>46081</v>
      </c>
      <c r="L251" s="19">
        <f>IF(Tabla15[[#This Row],[Duracion Real (dia)]]="",L250,Tabla15[[#This Row],[Inicio Real]]+Tabla15[[#This Row],[Duracion Real (dia)]])</f>
        <v>46082</v>
      </c>
      <c r="M251" s="16"/>
      <c r="N251" s="19" t="s">
        <v>35</v>
      </c>
      <c r="O251" s="13" t="s">
        <v>35</v>
      </c>
      <c r="P251" s="13" t="s">
        <v>35</v>
      </c>
      <c r="Q251" s="13" t="s">
        <v>35</v>
      </c>
      <c r="R251" s="13" t="s">
        <v>35</v>
      </c>
      <c r="S251" s="13" t="s">
        <v>35</v>
      </c>
      <c r="T251" s="13" t="s">
        <v>35</v>
      </c>
    </row>
    <row r="252" spans="1:20" hidden="1">
      <c r="A252" s="9" t="str">
        <f t="shared" si="37"/>
        <v>2.1.13.6.5</v>
      </c>
      <c r="B252" s="9">
        <f t="shared" si="38"/>
        <v>5</v>
      </c>
      <c r="C252" s="10" t="s">
        <v>324</v>
      </c>
      <c r="D252" s="11" t="s">
        <v>119</v>
      </c>
      <c r="E252" s="11" t="s">
        <v>29</v>
      </c>
      <c r="F252" s="15" t="str">
        <f>IF(Tabla15[[#This Row],[Columna1]]="","actividad","subactividad")</f>
        <v>subactividad</v>
      </c>
      <c r="G252" s="12"/>
      <c r="H252" s="19">
        <f t="shared" si="34"/>
        <v>46067</v>
      </c>
      <c r="I252" s="19">
        <f>IF(Tabla15[[#This Row],[Duracion ideal (dia)]]="",I251,Tabla15[[#This Row],[Inicio ideal]]+Tabla15[[#This Row],[Duracion ideal (dia)]])</f>
        <v>46067</v>
      </c>
      <c r="J252" s="12"/>
      <c r="K252" s="19">
        <f>IF(Tabla15[[#This Row],[Duracion Real (dia)]]="",K251,L251)</f>
        <v>46081</v>
      </c>
      <c r="L252" s="19">
        <f>IF(Tabla15[[#This Row],[Duracion Real (dia)]]="",L251,Tabla15[[#This Row],[Inicio Real]]+Tabla15[[#This Row],[Duracion Real (dia)]])</f>
        <v>46082</v>
      </c>
      <c r="M252" s="12"/>
      <c r="N252" s="19" t="s">
        <v>35</v>
      </c>
      <c r="O252" s="13" t="s">
        <v>35</v>
      </c>
      <c r="P252" s="13" t="s">
        <v>35</v>
      </c>
      <c r="Q252" s="13" t="s">
        <v>35</v>
      </c>
      <c r="R252" s="13" t="s">
        <v>35</v>
      </c>
      <c r="S252" s="13" t="s">
        <v>35</v>
      </c>
      <c r="T252" s="13" t="s">
        <v>35</v>
      </c>
    </row>
    <row r="253" spans="1:20" hidden="1">
      <c r="A253" s="9" t="str">
        <f t="shared" si="37"/>
        <v>2.1.13.6.6</v>
      </c>
      <c r="B253" s="9">
        <f t="shared" si="38"/>
        <v>6</v>
      </c>
      <c r="C253" s="20" t="s">
        <v>325</v>
      </c>
      <c r="D253" s="15" t="s">
        <v>119</v>
      </c>
      <c r="E253" s="15" t="s">
        <v>29</v>
      </c>
      <c r="F253" s="15" t="str">
        <f>IF(Tabla15[[#This Row],[Columna1]]="","actividad","subactividad")</f>
        <v>subactividad</v>
      </c>
      <c r="G253" s="16"/>
      <c r="H253" s="19">
        <f t="shared" si="34"/>
        <v>46067</v>
      </c>
      <c r="I253" s="19">
        <f>IF(Tabla15[[#This Row],[Duracion ideal (dia)]]="",I252,Tabla15[[#This Row],[Inicio ideal]]+Tabla15[[#This Row],[Duracion ideal (dia)]])</f>
        <v>46067</v>
      </c>
      <c r="J253" s="16"/>
      <c r="K253" s="19">
        <f>IF(Tabla15[[#This Row],[Duracion Real (dia)]]="",K252,L252)</f>
        <v>46081</v>
      </c>
      <c r="L253" s="19">
        <f>IF(Tabla15[[#This Row],[Duracion Real (dia)]]="",L252,Tabla15[[#This Row],[Inicio Real]]+Tabla15[[#This Row],[Duracion Real (dia)]])</f>
        <v>46082</v>
      </c>
      <c r="M253" s="16"/>
      <c r="N253" s="19" t="s">
        <v>35</v>
      </c>
      <c r="O253" s="13" t="s">
        <v>35</v>
      </c>
      <c r="P253" s="13" t="s">
        <v>35</v>
      </c>
      <c r="Q253" s="13" t="s">
        <v>35</v>
      </c>
      <c r="R253" s="13" t="s">
        <v>35</v>
      </c>
      <c r="S253" s="13" t="s">
        <v>35</v>
      </c>
      <c r="T253" s="13" t="s">
        <v>35</v>
      </c>
    </row>
    <row r="254" spans="1:20">
      <c r="A254" s="9" t="s">
        <v>326</v>
      </c>
      <c r="B254" s="9"/>
      <c r="C254" s="22" t="s">
        <v>327</v>
      </c>
      <c r="D254" s="11" t="s">
        <v>119</v>
      </c>
      <c r="E254" s="11" t="s">
        <v>29</v>
      </c>
      <c r="F254" s="15" t="str">
        <f>IF(Tabla15[[#This Row],[Columna1]]="","actividad","subactividad")</f>
        <v>actividad</v>
      </c>
      <c r="G254" s="12"/>
      <c r="H254" s="19">
        <f t="shared" si="34"/>
        <v>46067</v>
      </c>
      <c r="I254" s="19">
        <f>IF(Tabla15[[#This Row],[Duracion ideal (dia)]]="",I253,Tabla15[[#This Row],[Inicio ideal]]+Tabla15[[#This Row],[Duracion ideal (dia)]])</f>
        <v>46067</v>
      </c>
      <c r="J254" s="12"/>
      <c r="K254" s="19">
        <f>IF(Tabla15[[#This Row],[Duracion Real (dia)]]="",K253,L253)</f>
        <v>46081</v>
      </c>
      <c r="L254" s="19">
        <f>IF(Tabla15[[#This Row],[Duracion Real (dia)]]="",L253,Tabla15[[#This Row],[Inicio Real]]+Tabla15[[#This Row],[Duracion Real (dia)]])</f>
        <v>46082</v>
      </c>
      <c r="M254" s="12"/>
      <c r="N254" s="19" t="s">
        <v>35</v>
      </c>
      <c r="O254" s="13" t="s">
        <v>35</v>
      </c>
      <c r="P254" s="13" t="s">
        <v>35</v>
      </c>
      <c r="Q254" s="13" t="s">
        <v>35</v>
      </c>
      <c r="R254" s="13" t="s">
        <v>35</v>
      </c>
      <c r="S254" s="13" t="s">
        <v>35</v>
      </c>
      <c r="T254" s="13" t="s">
        <v>35</v>
      </c>
    </row>
    <row r="255" spans="1:20" hidden="1">
      <c r="A255" s="9" t="str">
        <f>CONCATENATE($A$254,".",B255)</f>
        <v>2.1.13.7.1</v>
      </c>
      <c r="B255" s="9">
        <f>IF(B254=" ",1,B254+1)</f>
        <v>1</v>
      </c>
      <c r="C255" s="20" t="s">
        <v>328</v>
      </c>
      <c r="D255" s="15" t="s">
        <v>119</v>
      </c>
      <c r="E255" s="15" t="s">
        <v>29</v>
      </c>
      <c r="F255" s="15" t="str">
        <f>IF(Tabla15[[#This Row],[Columna1]]="","actividad","subactividad")</f>
        <v>subactividad</v>
      </c>
      <c r="G255" s="16"/>
      <c r="H255" s="19">
        <f t="shared" si="34"/>
        <v>46067</v>
      </c>
      <c r="I255" s="19">
        <f>IF(Tabla15[[#This Row],[Duracion ideal (dia)]]="",I254,Tabla15[[#This Row],[Inicio ideal]]+Tabla15[[#This Row],[Duracion ideal (dia)]])</f>
        <v>46067</v>
      </c>
      <c r="J255" s="16"/>
      <c r="K255" s="19">
        <f>IF(Tabla15[[#This Row],[Duracion Real (dia)]]="",K254,L254)</f>
        <v>46081</v>
      </c>
      <c r="L255" s="19">
        <f>IF(Tabla15[[#This Row],[Duracion Real (dia)]]="",L254,Tabla15[[#This Row],[Inicio Real]]+Tabla15[[#This Row],[Duracion Real (dia)]])</f>
        <v>46082</v>
      </c>
      <c r="M255" s="16"/>
      <c r="N255" s="19" t="s">
        <v>35</v>
      </c>
      <c r="O255" s="13" t="s">
        <v>35</v>
      </c>
      <c r="P255" s="13" t="s">
        <v>35</v>
      </c>
      <c r="Q255" s="13" t="s">
        <v>35</v>
      </c>
      <c r="R255" s="13" t="s">
        <v>35</v>
      </c>
      <c r="S255" s="13" t="s">
        <v>35</v>
      </c>
      <c r="T255" s="13" t="s">
        <v>35</v>
      </c>
    </row>
    <row r="256" spans="1:20" hidden="1">
      <c r="A256" s="9" t="str">
        <f>CONCATENATE($A$254,".",B256)</f>
        <v>2.1.13.7.2</v>
      </c>
      <c r="B256" s="9">
        <f>IF(B255=" ",1,B255+1)</f>
        <v>2</v>
      </c>
      <c r="C256" s="10" t="s">
        <v>329</v>
      </c>
      <c r="D256" s="11" t="s">
        <v>119</v>
      </c>
      <c r="E256" s="11" t="s">
        <v>29</v>
      </c>
      <c r="F256" s="15" t="str">
        <f>IF(Tabla15[[#This Row],[Columna1]]="","actividad","subactividad")</f>
        <v>subactividad</v>
      </c>
      <c r="G256" s="12"/>
      <c r="H256" s="19">
        <f t="shared" si="34"/>
        <v>46067</v>
      </c>
      <c r="I256" s="19">
        <f>IF(Tabla15[[#This Row],[Duracion ideal (dia)]]="",I255,Tabla15[[#This Row],[Inicio ideal]]+Tabla15[[#This Row],[Duracion ideal (dia)]])</f>
        <v>46067</v>
      </c>
      <c r="J256" s="12"/>
      <c r="K256" s="19">
        <f>IF(Tabla15[[#This Row],[Duracion Real (dia)]]="",K255,L255)</f>
        <v>46081</v>
      </c>
      <c r="L256" s="19">
        <f>IF(Tabla15[[#This Row],[Duracion Real (dia)]]="",L255,Tabla15[[#This Row],[Inicio Real]]+Tabla15[[#This Row],[Duracion Real (dia)]])</f>
        <v>46082</v>
      </c>
      <c r="M256" s="12"/>
      <c r="N256" s="19" t="s">
        <v>35</v>
      </c>
      <c r="O256" s="13" t="s">
        <v>35</v>
      </c>
      <c r="P256" s="13" t="s">
        <v>35</v>
      </c>
      <c r="Q256" s="13" t="s">
        <v>35</v>
      </c>
      <c r="R256" s="13" t="s">
        <v>35</v>
      </c>
      <c r="S256" s="13" t="s">
        <v>35</v>
      </c>
      <c r="T256" s="13" t="s">
        <v>35</v>
      </c>
    </row>
    <row r="257" spans="1:20" hidden="1">
      <c r="A257" s="9" t="str">
        <f>CONCATENATE($A$254,".",B257)</f>
        <v>2.1.13.7.3</v>
      </c>
      <c r="B257" s="9">
        <f>IF(B256=" ",1,B256+1)</f>
        <v>3</v>
      </c>
      <c r="C257" s="20" t="s">
        <v>330</v>
      </c>
      <c r="D257" s="15" t="s">
        <v>119</v>
      </c>
      <c r="E257" s="15" t="s">
        <v>29</v>
      </c>
      <c r="F257" s="15" t="str">
        <f>IF(Tabla15[[#This Row],[Columna1]]="","actividad","subactividad")</f>
        <v>subactividad</v>
      </c>
      <c r="G257" s="16"/>
      <c r="H257" s="19">
        <f t="shared" si="34"/>
        <v>46067</v>
      </c>
      <c r="I257" s="19">
        <f>IF(Tabla15[[#This Row],[Duracion ideal (dia)]]="",I256,Tabla15[[#This Row],[Inicio ideal]]+Tabla15[[#This Row],[Duracion ideal (dia)]])</f>
        <v>46067</v>
      </c>
      <c r="J257" s="16"/>
      <c r="K257" s="19">
        <f>IF(Tabla15[[#This Row],[Duracion Real (dia)]]="",K256,L256)</f>
        <v>46081</v>
      </c>
      <c r="L257" s="19">
        <f>IF(Tabla15[[#This Row],[Duracion Real (dia)]]="",L256,Tabla15[[#This Row],[Inicio Real]]+Tabla15[[#This Row],[Duracion Real (dia)]])</f>
        <v>46082</v>
      </c>
      <c r="M257" s="16"/>
      <c r="N257" s="19" t="s">
        <v>35</v>
      </c>
      <c r="O257" s="13" t="s">
        <v>35</v>
      </c>
      <c r="P257" s="13" t="s">
        <v>35</v>
      </c>
      <c r="Q257" s="13" t="s">
        <v>35</v>
      </c>
      <c r="R257" s="13" t="s">
        <v>35</v>
      </c>
      <c r="S257" s="13" t="s">
        <v>35</v>
      </c>
      <c r="T257" s="13" t="s">
        <v>35</v>
      </c>
    </row>
    <row r="258" spans="1:20" hidden="1">
      <c r="A258" s="9" t="str">
        <f>CONCATENATE($A$254,".",B258)</f>
        <v>2.1.13.7.4</v>
      </c>
      <c r="B258" s="9">
        <f>IF(B257=" ",1,B257+1)</f>
        <v>4</v>
      </c>
      <c r="C258" s="10" t="s">
        <v>331</v>
      </c>
      <c r="D258" s="11" t="s">
        <v>119</v>
      </c>
      <c r="E258" s="11" t="s">
        <v>29</v>
      </c>
      <c r="F258" s="15" t="str">
        <f>IF(Tabla15[[#This Row],[Columna1]]="","actividad","subactividad")</f>
        <v>subactividad</v>
      </c>
      <c r="G258" s="12"/>
      <c r="H258" s="19">
        <f t="shared" si="34"/>
        <v>46067</v>
      </c>
      <c r="I258" s="19">
        <f>IF(Tabla15[[#This Row],[Duracion ideal (dia)]]="",I257,Tabla15[[#This Row],[Inicio ideal]]+Tabla15[[#This Row],[Duracion ideal (dia)]])</f>
        <v>46067</v>
      </c>
      <c r="J258" s="12"/>
      <c r="K258" s="19">
        <f>IF(Tabla15[[#This Row],[Duracion Real (dia)]]="",K257,L257)</f>
        <v>46081</v>
      </c>
      <c r="L258" s="19">
        <f>IF(Tabla15[[#This Row],[Duracion Real (dia)]]="",L257,Tabla15[[#This Row],[Inicio Real]]+Tabla15[[#This Row],[Duracion Real (dia)]])</f>
        <v>46082</v>
      </c>
      <c r="M258" s="12"/>
      <c r="N258" s="19" t="s">
        <v>35</v>
      </c>
      <c r="O258" s="13" t="s">
        <v>35</v>
      </c>
      <c r="P258" s="13" t="s">
        <v>35</v>
      </c>
      <c r="Q258" s="13" t="s">
        <v>35</v>
      </c>
      <c r="R258" s="13" t="s">
        <v>35</v>
      </c>
      <c r="S258" s="13" t="s">
        <v>35</v>
      </c>
      <c r="T258" s="13" t="s">
        <v>35</v>
      </c>
    </row>
    <row r="259" spans="1:20">
      <c r="A259" s="9" t="s">
        <v>332</v>
      </c>
      <c r="B259" s="9"/>
      <c r="C259" s="21" t="s">
        <v>333</v>
      </c>
      <c r="D259" s="15" t="s">
        <v>119</v>
      </c>
      <c r="E259" s="15" t="s">
        <v>29</v>
      </c>
      <c r="F259" s="15" t="str">
        <f>IF(Tabla15[[#This Row],[Columna1]]="","actividad","subactividad")</f>
        <v>actividad</v>
      </c>
      <c r="G259" s="16" t="s">
        <v>32</v>
      </c>
      <c r="H259" s="19">
        <f t="shared" si="34"/>
        <v>46067</v>
      </c>
      <c r="I259" s="19">
        <f>IF(Tabla15[[#This Row],[Duracion ideal (dia)]]="",I258,Tabla15[[#This Row],[Inicio ideal]]+Tabla15[[#This Row],[Duracion ideal (dia)]])</f>
        <v>46074</v>
      </c>
      <c r="J259" s="16">
        <v>7</v>
      </c>
      <c r="K259" s="19">
        <f>IF(Tabla15[[#This Row],[Duracion Real (dia)]]="",K258,L258)</f>
        <v>46082</v>
      </c>
      <c r="L259" s="19">
        <f>IF(Tabla15[[#This Row],[Duracion Real (dia)]]="",L258,Tabla15[[#This Row],[Inicio Real]]+Tabla15[[#This Row],[Duracion Real (dia)]])</f>
        <v>46089</v>
      </c>
      <c r="M259" s="16">
        <v>7</v>
      </c>
      <c r="N259" s="19" t="s">
        <v>60</v>
      </c>
      <c r="O259" s="13">
        <v>57362.81</v>
      </c>
      <c r="P259" s="13">
        <v>9692.34</v>
      </c>
      <c r="Q259" s="13">
        <v>67055.149999999994</v>
      </c>
      <c r="R259" s="13">
        <v>70278.86</v>
      </c>
      <c r="S259" s="13">
        <v>74571.653000000006</v>
      </c>
      <c r="T259" s="13">
        <v>74571.653000000006</v>
      </c>
    </row>
    <row r="260" spans="1:20" hidden="1">
      <c r="A260" s="9" t="str">
        <f>CONCATENATE($A$259,".",B260)</f>
        <v>2.1.14.1</v>
      </c>
      <c r="B260" s="9">
        <f>IF(B259=" ",1,B259+1)</f>
        <v>1</v>
      </c>
      <c r="C260" s="10" t="s">
        <v>334</v>
      </c>
      <c r="D260" s="11" t="s">
        <v>119</v>
      </c>
      <c r="E260" s="11" t="s">
        <v>29</v>
      </c>
      <c r="F260" s="15" t="str">
        <f>IF(Tabla15[[#This Row],[Columna1]]="","actividad","subactividad")</f>
        <v>subactividad</v>
      </c>
      <c r="G260" s="12"/>
      <c r="H260" s="19">
        <f t="shared" si="34"/>
        <v>46074</v>
      </c>
      <c r="I260" s="19">
        <f>IF(Tabla15[[#This Row],[Duracion ideal (dia)]]="",I259,Tabla15[[#This Row],[Inicio ideal]]+Tabla15[[#This Row],[Duracion ideal (dia)]])</f>
        <v>46074</v>
      </c>
      <c r="J260" s="12"/>
      <c r="K260" s="19">
        <f>IF(Tabla15[[#This Row],[Duracion Real (dia)]]="",K259,L259)</f>
        <v>46082</v>
      </c>
      <c r="L260" s="19">
        <f>IF(Tabla15[[#This Row],[Duracion Real (dia)]]="",L259,Tabla15[[#This Row],[Inicio Real]]+Tabla15[[#This Row],[Duracion Real (dia)]])</f>
        <v>46089</v>
      </c>
      <c r="M260" s="12"/>
      <c r="N260" s="19" t="s">
        <v>35</v>
      </c>
      <c r="O260" s="13" t="s">
        <v>35</v>
      </c>
      <c r="P260" s="13" t="s">
        <v>35</v>
      </c>
      <c r="Q260" s="13" t="s">
        <v>35</v>
      </c>
      <c r="R260" s="13" t="s">
        <v>35</v>
      </c>
      <c r="S260" s="13" t="s">
        <v>35</v>
      </c>
      <c r="T260" s="13" t="s">
        <v>35</v>
      </c>
    </row>
    <row r="261" spans="1:20" hidden="1">
      <c r="A261" s="9" t="str">
        <f>CONCATENATE($A$259,".",B261)</f>
        <v>2.1.14.2</v>
      </c>
      <c r="B261" s="9">
        <f>IF(B260=" ",1,B260+1)</f>
        <v>2</v>
      </c>
      <c r="C261" s="20" t="s">
        <v>335</v>
      </c>
      <c r="D261" s="15" t="s">
        <v>119</v>
      </c>
      <c r="E261" s="15" t="s">
        <v>29</v>
      </c>
      <c r="F261" s="15" t="str">
        <f>IF(Tabla15[[#This Row],[Columna1]]="","actividad","subactividad")</f>
        <v>subactividad</v>
      </c>
      <c r="G261" s="16"/>
      <c r="H261" s="19">
        <f t="shared" si="34"/>
        <v>46074</v>
      </c>
      <c r="I261" s="19">
        <f>IF(Tabla15[[#This Row],[Duracion ideal (dia)]]="",I260,Tabla15[[#This Row],[Inicio ideal]]+Tabla15[[#This Row],[Duracion ideal (dia)]])</f>
        <v>46074</v>
      </c>
      <c r="J261" s="16"/>
      <c r="K261" s="19">
        <f>IF(Tabla15[[#This Row],[Duracion Real (dia)]]="",K260,L260)</f>
        <v>46082</v>
      </c>
      <c r="L261" s="19">
        <f>IF(Tabla15[[#This Row],[Duracion Real (dia)]]="",L260,Tabla15[[#This Row],[Inicio Real]]+Tabla15[[#This Row],[Duracion Real (dia)]])</f>
        <v>46089</v>
      </c>
      <c r="M261" s="16"/>
      <c r="N261" s="19" t="s">
        <v>35</v>
      </c>
      <c r="O261" s="13" t="s">
        <v>35</v>
      </c>
      <c r="P261" s="13" t="s">
        <v>35</v>
      </c>
      <c r="Q261" s="13" t="s">
        <v>35</v>
      </c>
      <c r="R261" s="13" t="s">
        <v>35</v>
      </c>
      <c r="S261" s="13" t="s">
        <v>35</v>
      </c>
      <c r="T261" s="13" t="s">
        <v>35</v>
      </c>
    </row>
    <row r="262" spans="1:20" hidden="1">
      <c r="A262" s="9" t="str">
        <f>CONCATENATE($A$259,".",B262)</f>
        <v>2.1.14.3</v>
      </c>
      <c r="B262" s="9">
        <f>IF(B261=" ",1,B261+1)</f>
        <v>3</v>
      </c>
      <c r="C262" s="10" t="s">
        <v>336</v>
      </c>
      <c r="D262" s="11" t="s">
        <v>119</v>
      </c>
      <c r="E262" s="11" t="s">
        <v>29</v>
      </c>
      <c r="F262" s="15" t="str">
        <f>IF(Tabla15[[#This Row],[Columna1]]="","actividad","subactividad")</f>
        <v>subactividad</v>
      </c>
      <c r="G262" s="12"/>
      <c r="H262" s="19">
        <f t="shared" si="34"/>
        <v>46074</v>
      </c>
      <c r="I262" s="19">
        <f>IF(Tabla15[[#This Row],[Duracion ideal (dia)]]="",I261,Tabla15[[#This Row],[Inicio ideal]]+Tabla15[[#This Row],[Duracion ideal (dia)]])</f>
        <v>46074</v>
      </c>
      <c r="J262" s="12"/>
      <c r="K262" s="19">
        <f>IF(Tabla15[[#This Row],[Duracion Real (dia)]]="",K261,L261)</f>
        <v>46082</v>
      </c>
      <c r="L262" s="19">
        <f>IF(Tabla15[[#This Row],[Duracion Real (dia)]]="",L261,Tabla15[[#This Row],[Inicio Real]]+Tabla15[[#This Row],[Duracion Real (dia)]])</f>
        <v>46089</v>
      </c>
      <c r="M262" s="12"/>
      <c r="N262" s="19" t="s">
        <v>35</v>
      </c>
      <c r="O262" s="13" t="s">
        <v>35</v>
      </c>
      <c r="P262" s="13" t="s">
        <v>35</v>
      </c>
      <c r="Q262" s="13" t="s">
        <v>35</v>
      </c>
      <c r="R262" s="13" t="s">
        <v>35</v>
      </c>
      <c r="S262" s="13" t="s">
        <v>35</v>
      </c>
      <c r="T262" s="13" t="s">
        <v>35</v>
      </c>
    </row>
    <row r="263" spans="1:20" hidden="1">
      <c r="A263" s="9" t="str">
        <f>CONCATENATE($A$259,".",B263)</f>
        <v>2.1.14.4</v>
      </c>
      <c r="B263" s="9">
        <f>IF(B262=" ",1,B262+1)</f>
        <v>4</v>
      </c>
      <c r="C263" s="20" t="s">
        <v>337</v>
      </c>
      <c r="D263" s="15" t="s">
        <v>119</v>
      </c>
      <c r="E263" s="15" t="s">
        <v>29</v>
      </c>
      <c r="F263" s="15" t="str">
        <f>IF(Tabla15[[#This Row],[Columna1]]="","actividad","subactividad")</f>
        <v>subactividad</v>
      </c>
      <c r="G263" s="16"/>
      <c r="H263" s="19">
        <f t="shared" si="34"/>
        <v>46074</v>
      </c>
      <c r="I263" s="19">
        <f>IF(Tabla15[[#This Row],[Duracion ideal (dia)]]="",I262,Tabla15[[#This Row],[Inicio ideal]]+Tabla15[[#This Row],[Duracion ideal (dia)]])</f>
        <v>46074</v>
      </c>
      <c r="J263" s="16"/>
      <c r="K263" s="19">
        <f>IF(Tabla15[[#This Row],[Duracion Real (dia)]]="",K262,L262)</f>
        <v>46082</v>
      </c>
      <c r="L263" s="19">
        <f>IF(Tabla15[[#This Row],[Duracion Real (dia)]]="",L262,Tabla15[[#This Row],[Inicio Real]]+Tabla15[[#This Row],[Duracion Real (dia)]])</f>
        <v>46089</v>
      </c>
      <c r="M263" s="16"/>
      <c r="N263" s="19" t="s">
        <v>35</v>
      </c>
      <c r="O263" s="13" t="s">
        <v>35</v>
      </c>
      <c r="P263" s="13" t="s">
        <v>35</v>
      </c>
      <c r="Q263" s="13" t="s">
        <v>35</v>
      </c>
      <c r="R263" s="13" t="s">
        <v>35</v>
      </c>
      <c r="S263" s="13" t="s">
        <v>35</v>
      </c>
      <c r="T263" s="13" t="s">
        <v>35</v>
      </c>
    </row>
    <row r="264" spans="1:20" hidden="1">
      <c r="A264" s="9" t="str">
        <f>CONCATENATE($A$259,".",B264)</f>
        <v>2.1.14.5</v>
      </c>
      <c r="B264" s="9">
        <f>IF(B263=" ",1,B263+1)</f>
        <v>5</v>
      </c>
      <c r="C264" s="10" t="s">
        <v>338</v>
      </c>
      <c r="D264" s="11" t="s">
        <v>119</v>
      </c>
      <c r="E264" s="11" t="s">
        <v>29</v>
      </c>
      <c r="F264" s="15" t="str">
        <f>IF(Tabla15[[#This Row],[Columna1]]="","actividad","subactividad")</f>
        <v>subactividad</v>
      </c>
      <c r="G264" s="12"/>
      <c r="H264" s="19">
        <f t="shared" si="34"/>
        <v>46074</v>
      </c>
      <c r="I264" s="19">
        <f>IF(Tabla15[[#This Row],[Duracion ideal (dia)]]="",I263,Tabla15[[#This Row],[Inicio ideal]]+Tabla15[[#This Row],[Duracion ideal (dia)]])</f>
        <v>46074</v>
      </c>
      <c r="J264" s="12"/>
      <c r="K264" s="19">
        <f>IF(Tabla15[[#This Row],[Duracion Real (dia)]]="",K263,L263)</f>
        <v>46082</v>
      </c>
      <c r="L264" s="19">
        <f>IF(Tabla15[[#This Row],[Duracion Real (dia)]]="",L263,Tabla15[[#This Row],[Inicio Real]]+Tabla15[[#This Row],[Duracion Real (dia)]])</f>
        <v>46089</v>
      </c>
      <c r="M264" s="12"/>
      <c r="N264" s="19" t="s">
        <v>35</v>
      </c>
      <c r="O264" s="13" t="s">
        <v>35</v>
      </c>
      <c r="P264" s="13" t="s">
        <v>35</v>
      </c>
      <c r="Q264" s="13" t="s">
        <v>35</v>
      </c>
      <c r="R264" s="13" t="s">
        <v>35</v>
      </c>
      <c r="S264" s="13" t="s">
        <v>35</v>
      </c>
      <c r="T264" s="13" t="s">
        <v>35</v>
      </c>
    </row>
    <row r="265" spans="1:20">
      <c r="A265" s="9" t="s">
        <v>339</v>
      </c>
      <c r="B265" s="9"/>
      <c r="C265" s="21" t="s">
        <v>340</v>
      </c>
      <c r="D265" s="15" t="s">
        <v>119</v>
      </c>
      <c r="E265" s="15" t="s">
        <v>29</v>
      </c>
      <c r="F265" s="15" t="str">
        <f>IF(Tabla15[[#This Row],[Columna1]]="","actividad","subactividad")</f>
        <v>actividad</v>
      </c>
      <c r="G265" s="16" t="s">
        <v>32</v>
      </c>
      <c r="H265" s="19">
        <f t="shared" si="34"/>
        <v>46074</v>
      </c>
      <c r="I265" s="19">
        <f>IF(Tabla15[[#This Row],[Duracion ideal (dia)]]="",I264,Tabla15[[#This Row],[Inicio ideal]]+Tabla15[[#This Row],[Duracion ideal (dia)]])</f>
        <v>46078</v>
      </c>
      <c r="J265" s="16">
        <v>4</v>
      </c>
      <c r="K265" s="19">
        <f>IF(Tabla15[[#This Row],[Duracion Real (dia)]]="",K264,L264)</f>
        <v>46089</v>
      </c>
      <c r="L265" s="19">
        <f>IF(Tabla15[[#This Row],[Duracion Real (dia)]]="",L264,Tabla15[[#This Row],[Inicio Real]]+Tabla15[[#This Row],[Duracion Real (dia)]])</f>
        <v>46093</v>
      </c>
      <c r="M265" s="16">
        <v>4</v>
      </c>
      <c r="N265" s="19" t="s">
        <v>60</v>
      </c>
      <c r="O265" s="13">
        <v>57362.81</v>
      </c>
      <c r="P265" s="13">
        <v>6461.52</v>
      </c>
      <c r="Q265" s="13">
        <v>63824.33</v>
      </c>
      <c r="R265" s="13">
        <v>64743.409999999996</v>
      </c>
      <c r="S265" s="13">
        <v>74571.653000000006</v>
      </c>
      <c r="T265" s="13">
        <v>74571.653000000006</v>
      </c>
    </row>
    <row r="266" spans="1:20" hidden="1">
      <c r="A266" s="9" t="str">
        <f>CONCATENATE($A$265,".",B266)</f>
        <v>2.1.15.1</v>
      </c>
      <c r="B266" s="9">
        <f>IF(B265=" ",1,B265+1)</f>
        <v>1</v>
      </c>
      <c r="C266" s="10" t="s">
        <v>341</v>
      </c>
      <c r="D266" s="11" t="s">
        <v>119</v>
      </c>
      <c r="E266" s="11" t="s">
        <v>29</v>
      </c>
      <c r="F266" s="15" t="str">
        <f>IF(Tabla15[[#This Row],[Columna1]]="","actividad","subactividad")</f>
        <v>subactividad</v>
      </c>
      <c r="G266" s="12"/>
      <c r="H266" s="19">
        <f t="shared" si="34"/>
        <v>46078</v>
      </c>
      <c r="I266" s="19">
        <f>IF(Tabla15[[#This Row],[Duracion ideal (dia)]]="",I265,Tabla15[[#This Row],[Inicio ideal]]+Tabla15[[#This Row],[Duracion ideal (dia)]])</f>
        <v>46078</v>
      </c>
      <c r="J266" s="12"/>
      <c r="K266" s="19">
        <f>IF(Tabla15[[#This Row],[Duracion Real (dia)]]="",K265,L265)</f>
        <v>46089</v>
      </c>
      <c r="L266" s="19">
        <f>IF(Tabla15[[#This Row],[Duracion Real (dia)]]="",L265,Tabla15[[#This Row],[Inicio Real]]+Tabla15[[#This Row],[Duracion Real (dia)]])</f>
        <v>46093</v>
      </c>
      <c r="M266" s="12"/>
      <c r="N266" s="19" t="s">
        <v>35</v>
      </c>
      <c r="O266" s="13" t="s">
        <v>35</v>
      </c>
      <c r="P266" s="13" t="s">
        <v>35</v>
      </c>
      <c r="Q266" s="13" t="s">
        <v>35</v>
      </c>
      <c r="R266" s="13" t="s">
        <v>35</v>
      </c>
      <c r="S266" s="13" t="s">
        <v>35</v>
      </c>
      <c r="T266" s="13" t="s">
        <v>35</v>
      </c>
    </row>
    <row r="267" spans="1:20" hidden="1">
      <c r="A267" s="9" t="str">
        <f>CONCATENATE($A$265,".",B267)</f>
        <v>2.1.15.2</v>
      </c>
      <c r="B267" s="9">
        <f>IF(B266=" ",1,B266+1)</f>
        <v>2</v>
      </c>
      <c r="C267" s="20" t="s">
        <v>342</v>
      </c>
      <c r="D267" s="15" t="s">
        <v>119</v>
      </c>
      <c r="E267" s="15" t="s">
        <v>29</v>
      </c>
      <c r="F267" s="15" t="str">
        <f>IF(Tabla15[[#This Row],[Columna1]]="","actividad","subactividad")</f>
        <v>subactividad</v>
      </c>
      <c r="G267" s="16"/>
      <c r="H267" s="19">
        <f t="shared" si="34"/>
        <v>46078</v>
      </c>
      <c r="I267" s="19">
        <f>IF(Tabla15[[#This Row],[Duracion ideal (dia)]]="",I266,Tabla15[[#This Row],[Inicio ideal]]+Tabla15[[#This Row],[Duracion ideal (dia)]])</f>
        <v>46078</v>
      </c>
      <c r="J267" s="16"/>
      <c r="K267" s="19">
        <f>IF(Tabla15[[#This Row],[Duracion Real (dia)]]="",K266,L266)</f>
        <v>46089</v>
      </c>
      <c r="L267" s="19">
        <f>IF(Tabla15[[#This Row],[Duracion Real (dia)]]="",L266,Tabla15[[#This Row],[Inicio Real]]+Tabla15[[#This Row],[Duracion Real (dia)]])</f>
        <v>46093</v>
      </c>
      <c r="M267" s="16"/>
      <c r="N267" s="19" t="s">
        <v>35</v>
      </c>
      <c r="O267" s="13" t="s">
        <v>35</v>
      </c>
      <c r="P267" s="13" t="s">
        <v>35</v>
      </c>
      <c r="Q267" s="13" t="s">
        <v>35</v>
      </c>
      <c r="R267" s="13" t="s">
        <v>35</v>
      </c>
      <c r="S267" s="13" t="s">
        <v>35</v>
      </c>
      <c r="T267" s="13" t="s">
        <v>35</v>
      </c>
    </row>
    <row r="268" spans="1:20" hidden="1">
      <c r="A268" s="9" t="str">
        <f>CONCATENATE($A$265,".",B268)</f>
        <v>2.1.15.3</v>
      </c>
      <c r="B268" s="9">
        <f>IF(B267=" ",1,B267+1)</f>
        <v>3</v>
      </c>
      <c r="C268" s="10" t="s">
        <v>343</v>
      </c>
      <c r="D268" s="11" t="s">
        <v>119</v>
      </c>
      <c r="E268" s="11" t="s">
        <v>29</v>
      </c>
      <c r="F268" s="15" t="str">
        <f>IF(Tabla15[[#This Row],[Columna1]]="","actividad","subactividad")</f>
        <v>subactividad</v>
      </c>
      <c r="G268" s="12"/>
      <c r="H268" s="19">
        <f t="shared" si="34"/>
        <v>46078</v>
      </c>
      <c r="I268" s="19">
        <f>IF(Tabla15[[#This Row],[Duracion ideal (dia)]]="",I267,Tabla15[[#This Row],[Inicio ideal]]+Tabla15[[#This Row],[Duracion ideal (dia)]])</f>
        <v>46078</v>
      </c>
      <c r="J268" s="12"/>
      <c r="K268" s="19">
        <f>IF(Tabla15[[#This Row],[Duracion Real (dia)]]="",K267,L267)</f>
        <v>46089</v>
      </c>
      <c r="L268" s="19">
        <f>IF(Tabla15[[#This Row],[Duracion Real (dia)]]="",L267,Tabla15[[#This Row],[Inicio Real]]+Tabla15[[#This Row],[Duracion Real (dia)]])</f>
        <v>46093</v>
      </c>
      <c r="M268" s="12"/>
      <c r="N268" s="19" t="s">
        <v>35</v>
      </c>
      <c r="O268" s="13" t="s">
        <v>35</v>
      </c>
      <c r="P268" s="13" t="s">
        <v>35</v>
      </c>
      <c r="Q268" s="13" t="s">
        <v>35</v>
      </c>
      <c r="R268" s="13" t="s">
        <v>35</v>
      </c>
      <c r="S268" s="13" t="s">
        <v>35</v>
      </c>
      <c r="T268" s="13" t="s">
        <v>35</v>
      </c>
    </row>
    <row r="269" spans="1:20">
      <c r="A269" s="9" t="s">
        <v>344</v>
      </c>
      <c r="B269" s="9"/>
      <c r="C269" s="21" t="s">
        <v>345</v>
      </c>
      <c r="D269" s="15" t="s">
        <v>119</v>
      </c>
      <c r="E269" s="15" t="s">
        <v>29</v>
      </c>
      <c r="F269" s="15" t="str">
        <f>IF(Tabla15[[#This Row],[Columna1]]="","actividad","subactividad")</f>
        <v>actividad</v>
      </c>
      <c r="G269" s="16" t="s">
        <v>32</v>
      </c>
      <c r="H269" s="19">
        <f t="shared" si="34"/>
        <v>46078</v>
      </c>
      <c r="I269" s="19">
        <f>IF(Tabla15[[#This Row],[Duracion ideal (dia)]]="",I268,Tabla15[[#This Row],[Inicio ideal]]+Tabla15[[#This Row],[Duracion ideal (dia)]])</f>
        <v>46083</v>
      </c>
      <c r="J269" s="16">
        <v>5</v>
      </c>
      <c r="K269" s="19">
        <f>IF(Tabla15[[#This Row],[Duracion Real (dia)]]="",K268,L268)</f>
        <v>46093</v>
      </c>
      <c r="L269" s="19">
        <f>IF(Tabla15[[#This Row],[Duracion Real (dia)]]="",L268,Tabla15[[#This Row],[Inicio Real]]+Tabla15[[#This Row],[Duracion Real (dia)]])</f>
        <v>46098</v>
      </c>
      <c r="M269" s="16">
        <v>5</v>
      </c>
      <c r="N269" s="19" t="s">
        <v>160</v>
      </c>
      <c r="O269" s="13">
        <v>57362.81</v>
      </c>
      <c r="P269" s="13">
        <v>6230.75</v>
      </c>
      <c r="Q269" s="13">
        <v>63593.56</v>
      </c>
      <c r="R269" s="13">
        <v>64285.909999999996</v>
      </c>
      <c r="S269" s="13">
        <v>74571.653000000006</v>
      </c>
      <c r="T269" s="13">
        <v>74571.653000000006</v>
      </c>
    </row>
    <row r="270" spans="1:20" hidden="1">
      <c r="A270" s="9" t="str">
        <f>CONCATENATE($A$269,".",B270)</f>
        <v>2.1.16.1</v>
      </c>
      <c r="B270" s="9">
        <f>IF(B269=" ",1,B269+1)</f>
        <v>1</v>
      </c>
      <c r="C270" s="10" t="s">
        <v>346</v>
      </c>
      <c r="D270" s="11" t="s">
        <v>119</v>
      </c>
      <c r="E270" s="11" t="s">
        <v>29</v>
      </c>
      <c r="F270" s="15" t="str">
        <f>IF(Tabla15[[#This Row],[Columna1]]="","actividad","subactividad")</f>
        <v>subactividad</v>
      </c>
      <c r="G270" s="12"/>
      <c r="H270" s="19">
        <f t="shared" si="34"/>
        <v>46083</v>
      </c>
      <c r="I270" s="19">
        <f>IF(Tabla15[[#This Row],[Duracion ideal (dia)]]="",I269,Tabla15[[#This Row],[Inicio ideal]]+Tabla15[[#This Row],[Duracion ideal (dia)]])</f>
        <v>46083</v>
      </c>
      <c r="J270" s="12"/>
      <c r="K270" s="19">
        <f>IF(Tabla15[[#This Row],[Duracion Real (dia)]]="",K269,L269)</f>
        <v>46093</v>
      </c>
      <c r="L270" s="19">
        <f>IF(Tabla15[[#This Row],[Duracion Real (dia)]]="",L269,Tabla15[[#This Row],[Inicio Real]]+Tabla15[[#This Row],[Duracion Real (dia)]])</f>
        <v>46098</v>
      </c>
      <c r="M270" s="12"/>
      <c r="N270" s="19" t="s">
        <v>35</v>
      </c>
      <c r="O270" s="13" t="s">
        <v>35</v>
      </c>
      <c r="P270" s="13" t="s">
        <v>35</v>
      </c>
      <c r="Q270" s="13" t="s">
        <v>35</v>
      </c>
      <c r="R270" s="13" t="s">
        <v>35</v>
      </c>
      <c r="S270" s="13" t="s">
        <v>35</v>
      </c>
      <c r="T270" s="13" t="s">
        <v>35</v>
      </c>
    </row>
    <row r="271" spans="1:20" hidden="1">
      <c r="A271" s="9" t="str">
        <f>CONCATENATE($A$269,".",B271)</f>
        <v>2.1.16.2</v>
      </c>
      <c r="B271" s="9">
        <f>IF(B270=" ",1,B270+1)</f>
        <v>2</v>
      </c>
      <c r="C271" s="20" t="s">
        <v>347</v>
      </c>
      <c r="D271" s="15" t="s">
        <v>119</v>
      </c>
      <c r="E271" s="15" t="s">
        <v>29</v>
      </c>
      <c r="F271" s="15" t="str">
        <f>IF(Tabla15[[#This Row],[Columna1]]="","actividad","subactividad")</f>
        <v>subactividad</v>
      </c>
      <c r="G271" s="16"/>
      <c r="H271" s="19">
        <f t="shared" si="34"/>
        <v>46083</v>
      </c>
      <c r="I271" s="19">
        <f>IF(Tabla15[[#This Row],[Duracion ideal (dia)]]="",I270,Tabla15[[#This Row],[Inicio ideal]]+Tabla15[[#This Row],[Duracion ideal (dia)]])</f>
        <v>46083</v>
      </c>
      <c r="J271" s="16"/>
      <c r="K271" s="19">
        <f>IF(Tabla15[[#This Row],[Duracion Real (dia)]]="",K270,L270)</f>
        <v>46093</v>
      </c>
      <c r="L271" s="19">
        <f>IF(Tabla15[[#This Row],[Duracion Real (dia)]]="",L270,Tabla15[[#This Row],[Inicio Real]]+Tabla15[[#This Row],[Duracion Real (dia)]])</f>
        <v>46098</v>
      </c>
      <c r="M271" s="16"/>
      <c r="N271" s="19" t="s">
        <v>35</v>
      </c>
      <c r="O271" s="13" t="s">
        <v>35</v>
      </c>
      <c r="P271" s="13" t="s">
        <v>35</v>
      </c>
      <c r="Q271" s="13" t="s">
        <v>35</v>
      </c>
      <c r="R271" s="13" t="s">
        <v>35</v>
      </c>
      <c r="S271" s="13" t="s">
        <v>35</v>
      </c>
      <c r="T271" s="13" t="s">
        <v>35</v>
      </c>
    </row>
    <row r="272" spans="1:20" hidden="1">
      <c r="A272" s="9" t="str">
        <f>CONCATENATE($A$269,".",B272)</f>
        <v>2.1.16.3</v>
      </c>
      <c r="B272" s="9">
        <f>IF(B271=" ",1,B271+1)</f>
        <v>3</v>
      </c>
      <c r="C272" s="10" t="s">
        <v>348</v>
      </c>
      <c r="D272" s="11" t="s">
        <v>119</v>
      </c>
      <c r="E272" s="11" t="s">
        <v>29</v>
      </c>
      <c r="F272" s="15" t="str">
        <f>IF(Tabla15[[#This Row],[Columna1]]="","actividad","subactividad")</f>
        <v>subactividad</v>
      </c>
      <c r="G272" s="12"/>
      <c r="H272" s="19">
        <f t="shared" si="34"/>
        <v>46083</v>
      </c>
      <c r="I272" s="19">
        <f>IF(Tabla15[[#This Row],[Duracion ideal (dia)]]="",I271,Tabla15[[#This Row],[Inicio ideal]]+Tabla15[[#This Row],[Duracion ideal (dia)]])</f>
        <v>46083</v>
      </c>
      <c r="J272" s="12"/>
      <c r="K272" s="19">
        <f>IF(Tabla15[[#This Row],[Duracion Real (dia)]]="",K271,L271)</f>
        <v>46093</v>
      </c>
      <c r="L272" s="19">
        <f>IF(Tabla15[[#This Row],[Duracion Real (dia)]]="",L271,Tabla15[[#This Row],[Inicio Real]]+Tabla15[[#This Row],[Duracion Real (dia)]])</f>
        <v>46098</v>
      </c>
      <c r="M272" s="12"/>
      <c r="N272" s="19" t="s">
        <v>35</v>
      </c>
      <c r="O272" s="13" t="s">
        <v>35</v>
      </c>
      <c r="P272" s="13" t="s">
        <v>35</v>
      </c>
      <c r="Q272" s="13" t="s">
        <v>35</v>
      </c>
      <c r="R272" s="13" t="s">
        <v>35</v>
      </c>
      <c r="S272" s="13" t="s">
        <v>35</v>
      </c>
      <c r="T272" s="13" t="s">
        <v>35</v>
      </c>
    </row>
    <row r="273" spans="1:20">
      <c r="A273" s="9" t="s">
        <v>349</v>
      </c>
      <c r="B273" s="9"/>
      <c r="C273" s="21" t="s">
        <v>350</v>
      </c>
      <c r="D273" s="15" t="s">
        <v>119</v>
      </c>
      <c r="E273" s="15" t="s">
        <v>29</v>
      </c>
      <c r="F273" s="15" t="str">
        <f>IF(Tabla15[[#This Row],[Columna1]]="","actividad","subactividad")</f>
        <v>actividad</v>
      </c>
      <c r="G273" s="16" t="s">
        <v>32</v>
      </c>
      <c r="H273" s="19">
        <f t="shared" si="34"/>
        <v>46083</v>
      </c>
      <c r="I273" s="19">
        <f>IF(Tabla15[[#This Row],[Duracion ideal (dia)]]="",I272,Tabla15[[#This Row],[Inicio ideal]]+Tabla15[[#This Row],[Duracion ideal (dia)]])</f>
        <v>46088</v>
      </c>
      <c r="J273" s="16">
        <v>5</v>
      </c>
      <c r="K273" s="19">
        <f>IF(Tabla15[[#This Row],[Duracion Real (dia)]]="",K272,L272)</f>
        <v>46098</v>
      </c>
      <c r="L273" s="19">
        <f>IF(Tabla15[[#This Row],[Duracion Real (dia)]]="",L272,Tabla15[[#This Row],[Inicio Real]]+Tabla15[[#This Row],[Duracion Real (dia)]])</f>
        <v>46103</v>
      </c>
      <c r="M273" s="16">
        <v>5</v>
      </c>
      <c r="N273" s="19" t="s">
        <v>160</v>
      </c>
      <c r="O273" s="13">
        <v>57362.81</v>
      </c>
      <c r="P273" s="13">
        <v>6923.0999999999995</v>
      </c>
      <c r="Q273" s="13">
        <v>64285.909999999996</v>
      </c>
      <c r="R273" s="13">
        <v>64285.909999999996</v>
      </c>
      <c r="S273" s="13">
        <v>74571.653000000006</v>
      </c>
      <c r="T273" s="13">
        <v>74571.653000000006</v>
      </c>
    </row>
    <row r="274" spans="1:20" hidden="1">
      <c r="A274" s="9" t="str">
        <f>CONCATENATE($A$273,".",B274)</f>
        <v>2.1.17.1</v>
      </c>
      <c r="B274" s="9">
        <f>IF(B273=" ",1,B273+1)</f>
        <v>1</v>
      </c>
      <c r="C274" s="10" t="s">
        <v>351</v>
      </c>
      <c r="D274" s="11" t="s">
        <v>119</v>
      </c>
      <c r="E274" s="11" t="s">
        <v>29</v>
      </c>
      <c r="F274" s="15" t="str">
        <f>IF(Tabla15[[#This Row],[Columna1]]="","actividad","subactividad")</f>
        <v>subactividad</v>
      </c>
      <c r="G274" s="12"/>
      <c r="H274" s="19">
        <f t="shared" si="34"/>
        <v>46088</v>
      </c>
      <c r="I274" s="19">
        <f>IF(Tabla15[[#This Row],[Duracion ideal (dia)]]="",I273,Tabla15[[#This Row],[Inicio ideal]]+Tabla15[[#This Row],[Duracion ideal (dia)]])</f>
        <v>46088</v>
      </c>
      <c r="J274" s="12"/>
      <c r="K274" s="19">
        <f>IF(Tabla15[[#This Row],[Duracion Real (dia)]]="",K273,L273)</f>
        <v>46098</v>
      </c>
      <c r="L274" s="19">
        <f>IF(Tabla15[[#This Row],[Duracion Real (dia)]]="",L273,Tabla15[[#This Row],[Inicio Real]]+Tabla15[[#This Row],[Duracion Real (dia)]])</f>
        <v>46103</v>
      </c>
      <c r="M274" s="12"/>
      <c r="N274" s="19" t="s">
        <v>35</v>
      </c>
      <c r="O274" s="13" t="s">
        <v>35</v>
      </c>
      <c r="P274" s="13" t="s">
        <v>35</v>
      </c>
      <c r="Q274" s="13" t="s">
        <v>35</v>
      </c>
      <c r="R274" s="13" t="s">
        <v>35</v>
      </c>
      <c r="S274" s="13" t="s">
        <v>35</v>
      </c>
      <c r="T274" s="13" t="s">
        <v>35</v>
      </c>
    </row>
    <row r="275" spans="1:20" hidden="1">
      <c r="A275" s="9" t="str">
        <f>CONCATENATE($A$273,".",B275)</f>
        <v>2.1.17.2</v>
      </c>
      <c r="B275" s="9">
        <f>IF(B274=" ",1,B274+1)</f>
        <v>2</v>
      </c>
      <c r="C275" s="20" t="s">
        <v>352</v>
      </c>
      <c r="D275" s="15" t="s">
        <v>119</v>
      </c>
      <c r="E275" s="15" t="s">
        <v>29</v>
      </c>
      <c r="F275" s="15" t="str">
        <f>IF(Tabla15[[#This Row],[Columna1]]="","actividad","subactividad")</f>
        <v>subactividad</v>
      </c>
      <c r="G275" s="16"/>
      <c r="H275" s="19">
        <f t="shared" si="34"/>
        <v>46088</v>
      </c>
      <c r="I275" s="19">
        <f>IF(Tabla15[[#This Row],[Duracion ideal (dia)]]="",I274,Tabla15[[#This Row],[Inicio ideal]]+Tabla15[[#This Row],[Duracion ideal (dia)]])</f>
        <v>46088</v>
      </c>
      <c r="J275" s="16"/>
      <c r="K275" s="19">
        <f>IF(Tabla15[[#This Row],[Duracion Real (dia)]]="",K274,L274)</f>
        <v>46098</v>
      </c>
      <c r="L275" s="19">
        <f>IF(Tabla15[[#This Row],[Duracion Real (dia)]]="",L274,Tabla15[[#This Row],[Inicio Real]]+Tabla15[[#This Row],[Duracion Real (dia)]])</f>
        <v>46103</v>
      </c>
      <c r="M275" s="16"/>
      <c r="N275" s="19" t="s">
        <v>35</v>
      </c>
      <c r="O275" s="13" t="s">
        <v>35</v>
      </c>
      <c r="P275" s="13" t="s">
        <v>35</v>
      </c>
      <c r="Q275" s="13" t="s">
        <v>35</v>
      </c>
      <c r="R275" s="13" t="s">
        <v>35</v>
      </c>
      <c r="S275" s="13" t="s">
        <v>35</v>
      </c>
      <c r="T275" s="13" t="s">
        <v>35</v>
      </c>
    </row>
    <row r="276" spans="1:20" hidden="1">
      <c r="A276" s="9" t="str">
        <f>CONCATENATE($A$273,".",B276)</f>
        <v>2.1.17.3</v>
      </c>
      <c r="B276" s="9">
        <f>IF(B275=" ",1,B275+1)</f>
        <v>3</v>
      </c>
      <c r="C276" s="10" t="s">
        <v>353</v>
      </c>
      <c r="D276" s="11" t="s">
        <v>119</v>
      </c>
      <c r="E276" s="11" t="s">
        <v>29</v>
      </c>
      <c r="F276" s="15" t="str">
        <f>IF(Tabla15[[#This Row],[Columna1]]="","actividad","subactividad")</f>
        <v>subactividad</v>
      </c>
      <c r="G276" s="12"/>
      <c r="H276" s="19">
        <f t="shared" si="34"/>
        <v>46088</v>
      </c>
      <c r="I276" s="19">
        <f>IF(Tabla15[[#This Row],[Duracion ideal (dia)]]="",I275,Tabla15[[#This Row],[Inicio ideal]]+Tabla15[[#This Row],[Duracion ideal (dia)]])</f>
        <v>46088</v>
      </c>
      <c r="J276" s="12"/>
      <c r="K276" s="19">
        <f>IF(Tabla15[[#This Row],[Duracion Real (dia)]]="",K275,L275)</f>
        <v>46098</v>
      </c>
      <c r="L276" s="19">
        <f>IF(Tabla15[[#This Row],[Duracion Real (dia)]]="",L275,Tabla15[[#This Row],[Inicio Real]]+Tabla15[[#This Row],[Duracion Real (dia)]])</f>
        <v>46103</v>
      </c>
      <c r="M276" s="12"/>
      <c r="N276" s="19" t="s">
        <v>35</v>
      </c>
      <c r="O276" s="13" t="s">
        <v>35</v>
      </c>
      <c r="P276" s="13" t="s">
        <v>35</v>
      </c>
      <c r="Q276" s="13" t="s">
        <v>35</v>
      </c>
      <c r="R276" s="13" t="s">
        <v>35</v>
      </c>
      <c r="S276" s="13" t="s">
        <v>35</v>
      </c>
      <c r="T276" s="13" t="s">
        <v>35</v>
      </c>
    </row>
    <row r="277" spans="1:20">
      <c r="A277" s="9" t="s">
        <v>354</v>
      </c>
      <c r="B277" s="9"/>
      <c r="C277" s="21" t="s">
        <v>355</v>
      </c>
      <c r="D277" s="15" t="s">
        <v>119</v>
      </c>
      <c r="E277" s="15" t="s">
        <v>29</v>
      </c>
      <c r="F277" s="15" t="str">
        <f>IF(Tabla15[[#This Row],[Columna1]]="","actividad","subactividad")</f>
        <v>actividad</v>
      </c>
      <c r="G277" s="16" t="s">
        <v>32</v>
      </c>
      <c r="H277" s="19">
        <f t="shared" si="34"/>
        <v>46088</v>
      </c>
      <c r="I277" s="19">
        <f>IF(Tabla15[[#This Row],[Duracion ideal (dia)]]="",I276,Tabla15[[#This Row],[Inicio ideal]]+Tabla15[[#This Row],[Duracion ideal (dia)]])</f>
        <v>46093</v>
      </c>
      <c r="J277" s="16">
        <v>5</v>
      </c>
      <c r="K277" s="19">
        <f>IF(Tabla15[[#This Row],[Duracion Real (dia)]]="",K276,L276)</f>
        <v>46103</v>
      </c>
      <c r="L277" s="19">
        <f>IF(Tabla15[[#This Row],[Duracion Real (dia)]]="",L276,Tabla15[[#This Row],[Inicio Real]]+Tabla15[[#This Row],[Duracion Real (dia)]])</f>
        <v>46108</v>
      </c>
      <c r="M277" s="16">
        <v>5</v>
      </c>
      <c r="N277" s="19" t="s">
        <v>69</v>
      </c>
      <c r="O277" s="13">
        <v>57362.81</v>
      </c>
      <c r="P277" s="13">
        <v>6230.75</v>
      </c>
      <c r="Q277" s="13">
        <v>63593.56</v>
      </c>
      <c r="R277" s="13">
        <v>65439.71</v>
      </c>
      <c r="S277" s="13">
        <v>74571.653000000006</v>
      </c>
      <c r="T277" s="13">
        <v>74571.653000000006</v>
      </c>
    </row>
    <row r="278" spans="1:20" hidden="1">
      <c r="A278" s="9" t="str">
        <f t="shared" ref="A278:A283" si="39">CONCATENATE($A$277,".",B278)</f>
        <v>2.1.18.1</v>
      </c>
      <c r="B278" s="9">
        <f t="shared" ref="B278:B283" si="40">IF(B277=" ",1,B277+1)</f>
        <v>1</v>
      </c>
      <c r="C278" s="10" t="s">
        <v>356</v>
      </c>
      <c r="D278" s="11" t="s">
        <v>119</v>
      </c>
      <c r="E278" s="11" t="s">
        <v>29</v>
      </c>
      <c r="F278" s="15" t="str">
        <f>IF(Tabla15[[#This Row],[Columna1]]="","actividad","subactividad")</f>
        <v>subactividad</v>
      </c>
      <c r="G278" s="12"/>
      <c r="H278" s="19">
        <f t="shared" si="34"/>
        <v>46093</v>
      </c>
      <c r="I278" s="19">
        <f>IF(Tabla15[[#This Row],[Duracion ideal (dia)]]="",I277,Tabla15[[#This Row],[Inicio ideal]]+Tabla15[[#This Row],[Duracion ideal (dia)]])</f>
        <v>46093</v>
      </c>
      <c r="J278" s="12"/>
      <c r="K278" s="19">
        <f>IF(Tabla15[[#This Row],[Duracion Real (dia)]]="",K277,L277)</f>
        <v>46103</v>
      </c>
      <c r="L278" s="19">
        <f>IF(Tabla15[[#This Row],[Duracion Real (dia)]]="",L277,Tabla15[[#This Row],[Inicio Real]]+Tabla15[[#This Row],[Duracion Real (dia)]])</f>
        <v>46108</v>
      </c>
      <c r="M278" s="12"/>
      <c r="N278" s="19" t="s">
        <v>35</v>
      </c>
      <c r="O278" s="13" t="s">
        <v>35</v>
      </c>
      <c r="P278" s="13" t="s">
        <v>35</v>
      </c>
      <c r="Q278" s="13" t="s">
        <v>35</v>
      </c>
      <c r="R278" s="13" t="s">
        <v>35</v>
      </c>
      <c r="S278" s="13" t="s">
        <v>35</v>
      </c>
      <c r="T278" s="13" t="s">
        <v>35</v>
      </c>
    </row>
    <row r="279" spans="1:20" hidden="1">
      <c r="A279" s="9" t="str">
        <f t="shared" si="39"/>
        <v>2.1.18.2</v>
      </c>
      <c r="B279" s="9">
        <f t="shared" si="40"/>
        <v>2</v>
      </c>
      <c r="C279" s="20" t="s">
        <v>357</v>
      </c>
      <c r="D279" s="15" t="s">
        <v>119</v>
      </c>
      <c r="E279" s="15" t="s">
        <v>29</v>
      </c>
      <c r="F279" s="15" t="str">
        <f>IF(Tabla15[[#This Row],[Columna1]]="","actividad","subactividad")</f>
        <v>subactividad</v>
      </c>
      <c r="G279" s="16"/>
      <c r="H279" s="19">
        <f t="shared" si="34"/>
        <v>46093</v>
      </c>
      <c r="I279" s="19">
        <f>IF(Tabla15[[#This Row],[Duracion ideal (dia)]]="",I278,Tabla15[[#This Row],[Inicio ideal]]+Tabla15[[#This Row],[Duracion ideal (dia)]])</f>
        <v>46093</v>
      </c>
      <c r="J279" s="16"/>
      <c r="K279" s="19">
        <f>IF(Tabla15[[#This Row],[Duracion Real (dia)]]="",K278,L278)</f>
        <v>46103</v>
      </c>
      <c r="L279" s="19">
        <f>IF(Tabla15[[#This Row],[Duracion Real (dia)]]="",L278,Tabla15[[#This Row],[Inicio Real]]+Tabla15[[#This Row],[Duracion Real (dia)]])</f>
        <v>46108</v>
      </c>
      <c r="M279" s="16"/>
      <c r="N279" s="19" t="s">
        <v>35</v>
      </c>
      <c r="O279" s="13" t="s">
        <v>35</v>
      </c>
      <c r="P279" s="13" t="s">
        <v>35</v>
      </c>
      <c r="Q279" s="13" t="s">
        <v>35</v>
      </c>
      <c r="R279" s="13" t="s">
        <v>35</v>
      </c>
      <c r="S279" s="13" t="s">
        <v>35</v>
      </c>
      <c r="T279" s="13" t="s">
        <v>35</v>
      </c>
    </row>
    <row r="280" spans="1:20" hidden="1">
      <c r="A280" s="9" t="str">
        <f t="shared" si="39"/>
        <v>2.1.18.3</v>
      </c>
      <c r="B280" s="9">
        <f t="shared" si="40"/>
        <v>3</v>
      </c>
      <c r="C280" s="10" t="s">
        <v>358</v>
      </c>
      <c r="D280" s="11" t="s">
        <v>119</v>
      </c>
      <c r="E280" s="11" t="s">
        <v>29</v>
      </c>
      <c r="F280" s="15" t="str">
        <f>IF(Tabla15[[#This Row],[Columna1]]="","actividad","subactividad")</f>
        <v>subactividad</v>
      </c>
      <c r="G280" s="12"/>
      <c r="H280" s="19">
        <f t="shared" si="34"/>
        <v>46093</v>
      </c>
      <c r="I280" s="19">
        <f>IF(Tabla15[[#This Row],[Duracion ideal (dia)]]="",I279,Tabla15[[#This Row],[Inicio ideal]]+Tabla15[[#This Row],[Duracion ideal (dia)]])</f>
        <v>46093</v>
      </c>
      <c r="J280" s="12"/>
      <c r="K280" s="19">
        <f>IF(Tabla15[[#This Row],[Duracion Real (dia)]]="",K279,L279)</f>
        <v>46103</v>
      </c>
      <c r="L280" s="19">
        <f>IF(Tabla15[[#This Row],[Duracion Real (dia)]]="",L279,Tabla15[[#This Row],[Inicio Real]]+Tabla15[[#This Row],[Duracion Real (dia)]])</f>
        <v>46108</v>
      </c>
      <c r="M280" s="12"/>
      <c r="N280" s="19" t="s">
        <v>35</v>
      </c>
      <c r="O280" s="13" t="s">
        <v>35</v>
      </c>
      <c r="P280" s="13" t="s">
        <v>35</v>
      </c>
      <c r="Q280" s="13" t="s">
        <v>35</v>
      </c>
      <c r="R280" s="13" t="s">
        <v>35</v>
      </c>
      <c r="S280" s="13" t="s">
        <v>35</v>
      </c>
      <c r="T280" s="13" t="s">
        <v>35</v>
      </c>
    </row>
    <row r="281" spans="1:20" hidden="1">
      <c r="A281" s="9" t="str">
        <f t="shared" si="39"/>
        <v>2.1.18.4</v>
      </c>
      <c r="B281" s="9">
        <f t="shared" si="40"/>
        <v>4</v>
      </c>
      <c r="C281" s="20" t="s">
        <v>359</v>
      </c>
      <c r="D281" s="15" t="s">
        <v>119</v>
      </c>
      <c r="E281" s="15" t="s">
        <v>29</v>
      </c>
      <c r="F281" s="15" t="str">
        <f>IF(Tabla15[[#This Row],[Columna1]]="","actividad","subactividad")</f>
        <v>subactividad</v>
      </c>
      <c r="G281" s="16"/>
      <c r="H281" s="19">
        <f t="shared" si="34"/>
        <v>46093</v>
      </c>
      <c r="I281" s="19">
        <f>IF(Tabla15[[#This Row],[Duracion ideal (dia)]]="",I280,Tabla15[[#This Row],[Inicio ideal]]+Tabla15[[#This Row],[Duracion ideal (dia)]])</f>
        <v>46093</v>
      </c>
      <c r="J281" s="16"/>
      <c r="K281" s="19">
        <f>IF(Tabla15[[#This Row],[Duracion Real (dia)]]="",K280,L280)</f>
        <v>46103</v>
      </c>
      <c r="L281" s="19">
        <f>IF(Tabla15[[#This Row],[Duracion Real (dia)]]="",L280,Tabla15[[#This Row],[Inicio Real]]+Tabla15[[#This Row],[Duracion Real (dia)]])</f>
        <v>46108</v>
      </c>
      <c r="M281" s="16"/>
      <c r="N281" s="19" t="s">
        <v>35</v>
      </c>
      <c r="O281" s="13" t="s">
        <v>35</v>
      </c>
      <c r="P281" s="13" t="s">
        <v>35</v>
      </c>
      <c r="Q281" s="13" t="s">
        <v>35</v>
      </c>
      <c r="R281" s="13" t="s">
        <v>35</v>
      </c>
      <c r="S281" s="13" t="s">
        <v>35</v>
      </c>
      <c r="T281" s="13" t="s">
        <v>35</v>
      </c>
    </row>
    <row r="282" spans="1:20" hidden="1">
      <c r="A282" s="9" t="str">
        <f t="shared" si="39"/>
        <v>2.1.18.5</v>
      </c>
      <c r="B282" s="9">
        <f t="shared" si="40"/>
        <v>5</v>
      </c>
      <c r="C282" s="10" t="s">
        <v>360</v>
      </c>
      <c r="D282" s="11" t="s">
        <v>119</v>
      </c>
      <c r="E282" s="11" t="s">
        <v>29</v>
      </c>
      <c r="F282" s="15" t="str">
        <f>IF(Tabla15[[#This Row],[Columna1]]="","actividad","subactividad")</f>
        <v>subactividad</v>
      </c>
      <c r="G282" s="12"/>
      <c r="H282" s="19">
        <f t="shared" si="34"/>
        <v>46093</v>
      </c>
      <c r="I282" s="19">
        <f>IF(Tabla15[[#This Row],[Duracion ideal (dia)]]="",I281,Tabla15[[#This Row],[Inicio ideal]]+Tabla15[[#This Row],[Duracion ideal (dia)]])</f>
        <v>46093</v>
      </c>
      <c r="J282" s="12"/>
      <c r="K282" s="19">
        <f>IF(Tabla15[[#This Row],[Duracion Real (dia)]]="",K281,L281)</f>
        <v>46103</v>
      </c>
      <c r="L282" s="19">
        <f>IF(Tabla15[[#This Row],[Duracion Real (dia)]]="",L281,Tabla15[[#This Row],[Inicio Real]]+Tabla15[[#This Row],[Duracion Real (dia)]])</f>
        <v>46108</v>
      </c>
      <c r="M282" s="12"/>
      <c r="N282" s="19" t="s">
        <v>35</v>
      </c>
      <c r="O282" s="13" t="s">
        <v>35</v>
      </c>
      <c r="P282" s="13" t="s">
        <v>35</v>
      </c>
      <c r="Q282" s="13" t="s">
        <v>35</v>
      </c>
      <c r="R282" s="13" t="s">
        <v>35</v>
      </c>
      <c r="S282" s="13" t="s">
        <v>35</v>
      </c>
      <c r="T282" s="13" t="s">
        <v>35</v>
      </c>
    </row>
    <row r="283" spans="1:20" hidden="1">
      <c r="A283" s="9" t="str">
        <f t="shared" si="39"/>
        <v>2.1.18.6</v>
      </c>
      <c r="B283" s="9">
        <f t="shared" si="40"/>
        <v>6</v>
      </c>
      <c r="C283" s="20" t="s">
        <v>361</v>
      </c>
      <c r="D283" s="15" t="s">
        <v>119</v>
      </c>
      <c r="E283" s="15" t="s">
        <v>29</v>
      </c>
      <c r="F283" s="15" t="str">
        <f>IF(Tabla15[[#This Row],[Columna1]]="","actividad","subactividad")</f>
        <v>subactividad</v>
      </c>
      <c r="G283" s="16"/>
      <c r="H283" s="19">
        <f t="shared" si="34"/>
        <v>46093</v>
      </c>
      <c r="I283" s="19">
        <f>IF(Tabla15[[#This Row],[Duracion ideal (dia)]]="",I282,Tabla15[[#This Row],[Inicio ideal]]+Tabla15[[#This Row],[Duracion ideal (dia)]])</f>
        <v>46093</v>
      </c>
      <c r="J283" s="16"/>
      <c r="K283" s="19">
        <f>IF(Tabla15[[#This Row],[Duracion Real (dia)]]="",K282,L282)</f>
        <v>46103</v>
      </c>
      <c r="L283" s="19">
        <f>IF(Tabla15[[#This Row],[Duracion Real (dia)]]="",L282,Tabla15[[#This Row],[Inicio Real]]+Tabla15[[#This Row],[Duracion Real (dia)]])</f>
        <v>46108</v>
      </c>
      <c r="M283" s="16"/>
      <c r="N283" s="19" t="s">
        <v>35</v>
      </c>
      <c r="O283" s="13" t="s">
        <v>35</v>
      </c>
      <c r="P283" s="13" t="s">
        <v>35</v>
      </c>
      <c r="Q283" s="13" t="s">
        <v>35</v>
      </c>
      <c r="R283" s="13" t="s">
        <v>35</v>
      </c>
      <c r="S283" s="13" t="s">
        <v>35</v>
      </c>
      <c r="T283" s="13" t="s">
        <v>35</v>
      </c>
    </row>
    <row r="284" spans="1:20">
      <c r="A284" s="9" t="s">
        <v>362</v>
      </c>
      <c r="B284" s="9"/>
      <c r="C284" s="22" t="s">
        <v>363</v>
      </c>
      <c r="D284" s="11" t="s">
        <v>119</v>
      </c>
      <c r="E284" s="11" t="s">
        <v>29</v>
      </c>
      <c r="F284" s="15" t="str">
        <f>IF(Tabla15[[#This Row],[Columna1]]="","actividad","subactividad")</f>
        <v>actividad</v>
      </c>
      <c r="G284" s="12" t="s">
        <v>32</v>
      </c>
      <c r="H284" s="19">
        <f t="shared" si="34"/>
        <v>46093</v>
      </c>
      <c r="I284" s="19">
        <f>IF(Tabla15[[#This Row],[Duracion ideal (dia)]]="",I283,Tabla15[[#This Row],[Inicio ideal]]+Tabla15[[#This Row],[Duracion ideal (dia)]])</f>
        <v>46097</v>
      </c>
      <c r="J284" s="12">
        <v>4</v>
      </c>
      <c r="K284" s="19">
        <f>IF(Tabla15[[#This Row],[Duracion Real (dia)]]="",K283,L283)</f>
        <v>46108</v>
      </c>
      <c r="L284" s="19">
        <f>IF(Tabla15[[#This Row],[Duracion Real (dia)]]="",L283,Tabla15[[#This Row],[Inicio Real]]+Tabla15[[#This Row],[Duracion Real (dia)]])</f>
        <v>46112</v>
      </c>
      <c r="M284" s="12">
        <v>4</v>
      </c>
      <c r="N284" s="19" t="s">
        <v>160</v>
      </c>
      <c r="O284" s="13">
        <v>57362.81</v>
      </c>
      <c r="P284" s="13">
        <v>5538.48</v>
      </c>
      <c r="Q284" s="13">
        <v>62901.289999999994</v>
      </c>
      <c r="R284" s="13">
        <v>62901.289999999994</v>
      </c>
      <c r="S284" s="13">
        <v>74571.653000000006</v>
      </c>
      <c r="T284" s="13">
        <v>74571.653000000006</v>
      </c>
    </row>
    <row r="285" spans="1:20" hidden="1">
      <c r="A285" s="9" t="str">
        <f>CONCATENATE($A$284,".",B285)</f>
        <v>2.1.19.1</v>
      </c>
      <c r="B285" s="9">
        <f>IF(B284=" ",1,B284+1)</f>
        <v>1</v>
      </c>
      <c r="C285" s="20" t="s">
        <v>364</v>
      </c>
      <c r="D285" s="15" t="s">
        <v>119</v>
      </c>
      <c r="E285" s="15" t="s">
        <v>29</v>
      </c>
      <c r="F285" s="15" t="str">
        <f>IF(Tabla15[[#This Row],[Columna1]]="","actividad","subactividad")</f>
        <v>subactividad</v>
      </c>
      <c r="G285" s="16"/>
      <c r="H285" s="19">
        <f t="shared" si="34"/>
        <v>46097</v>
      </c>
      <c r="I285" s="19">
        <f>IF(Tabla15[[#This Row],[Duracion ideal (dia)]]="",I284,Tabla15[[#This Row],[Inicio ideal]]+Tabla15[[#This Row],[Duracion ideal (dia)]])</f>
        <v>46097</v>
      </c>
      <c r="J285" s="16"/>
      <c r="K285" s="19">
        <f>IF(Tabla15[[#This Row],[Duracion Real (dia)]]="",K284,L284)</f>
        <v>46108</v>
      </c>
      <c r="L285" s="19">
        <f>IF(Tabla15[[#This Row],[Duracion Real (dia)]]="",L284,Tabla15[[#This Row],[Inicio Real]]+Tabla15[[#This Row],[Duracion Real (dia)]])</f>
        <v>46112</v>
      </c>
      <c r="M285" s="16"/>
      <c r="N285" s="19" t="s">
        <v>35</v>
      </c>
      <c r="O285" s="13" t="s">
        <v>35</v>
      </c>
      <c r="P285" s="13" t="s">
        <v>35</v>
      </c>
      <c r="Q285" s="13" t="s">
        <v>35</v>
      </c>
      <c r="R285" s="13" t="s">
        <v>35</v>
      </c>
      <c r="S285" s="13" t="s">
        <v>35</v>
      </c>
      <c r="T285" s="13" t="s">
        <v>35</v>
      </c>
    </row>
    <row r="286" spans="1:20" hidden="1">
      <c r="A286" s="9" t="str">
        <f>CONCATENATE($A$284,".",B286)</f>
        <v>2.1.19.2</v>
      </c>
      <c r="B286" s="9">
        <f>IF(B285=" ",1,B285+1)</f>
        <v>2</v>
      </c>
      <c r="C286" s="10" t="s">
        <v>365</v>
      </c>
      <c r="D286" s="11" t="s">
        <v>119</v>
      </c>
      <c r="E286" s="11" t="s">
        <v>29</v>
      </c>
      <c r="F286" s="15" t="str">
        <f>IF(Tabla15[[#This Row],[Columna1]]="","actividad","subactividad")</f>
        <v>subactividad</v>
      </c>
      <c r="G286" s="12"/>
      <c r="H286" s="19">
        <f t="shared" si="34"/>
        <v>46097</v>
      </c>
      <c r="I286" s="19">
        <f>IF(Tabla15[[#This Row],[Duracion ideal (dia)]]="",I285,Tabla15[[#This Row],[Inicio ideal]]+Tabla15[[#This Row],[Duracion ideal (dia)]])</f>
        <v>46097</v>
      </c>
      <c r="J286" s="12"/>
      <c r="K286" s="19">
        <f>IF(Tabla15[[#This Row],[Duracion Real (dia)]]="",K285,L285)</f>
        <v>46108</v>
      </c>
      <c r="L286" s="19">
        <f>IF(Tabla15[[#This Row],[Duracion Real (dia)]]="",L285,Tabla15[[#This Row],[Inicio Real]]+Tabla15[[#This Row],[Duracion Real (dia)]])</f>
        <v>46112</v>
      </c>
      <c r="M286" s="12"/>
      <c r="N286" s="19" t="s">
        <v>35</v>
      </c>
      <c r="O286" s="13" t="s">
        <v>35</v>
      </c>
      <c r="P286" s="13" t="s">
        <v>35</v>
      </c>
      <c r="Q286" s="13" t="s">
        <v>35</v>
      </c>
      <c r="R286" s="13" t="s">
        <v>35</v>
      </c>
      <c r="S286" s="13" t="s">
        <v>35</v>
      </c>
      <c r="T286" s="13" t="s">
        <v>35</v>
      </c>
    </row>
    <row r="287" spans="1:20" hidden="1">
      <c r="A287" s="9" t="str">
        <f>CONCATENATE($A$284,".",B287)</f>
        <v>2.1.19.3</v>
      </c>
      <c r="B287" s="9">
        <f>IF(B286=" ",1,B286+1)</f>
        <v>3</v>
      </c>
      <c r="C287" s="20" t="s">
        <v>366</v>
      </c>
      <c r="D287" s="15" t="s">
        <v>119</v>
      </c>
      <c r="E287" s="15" t="s">
        <v>29</v>
      </c>
      <c r="F287" s="15" t="str">
        <f>IF(Tabla15[[#This Row],[Columna1]]="","actividad","subactividad")</f>
        <v>subactividad</v>
      </c>
      <c r="G287" s="16"/>
      <c r="H287" s="19">
        <f t="shared" si="34"/>
        <v>46097</v>
      </c>
      <c r="I287" s="19">
        <f>IF(Tabla15[[#This Row],[Duracion ideal (dia)]]="",I286,Tabla15[[#This Row],[Inicio ideal]]+Tabla15[[#This Row],[Duracion ideal (dia)]])</f>
        <v>46097</v>
      </c>
      <c r="J287" s="16"/>
      <c r="K287" s="19">
        <f>IF(Tabla15[[#This Row],[Duracion Real (dia)]]="",K286,L286)</f>
        <v>46108</v>
      </c>
      <c r="L287" s="19">
        <f>IF(Tabla15[[#This Row],[Duracion Real (dia)]]="",L286,Tabla15[[#This Row],[Inicio Real]]+Tabla15[[#This Row],[Duracion Real (dia)]])</f>
        <v>46112</v>
      </c>
      <c r="M287" s="16"/>
      <c r="N287" s="19" t="s">
        <v>35</v>
      </c>
      <c r="O287" s="13" t="s">
        <v>35</v>
      </c>
      <c r="P287" s="13" t="s">
        <v>35</v>
      </c>
      <c r="Q287" s="13" t="s">
        <v>35</v>
      </c>
      <c r="R287" s="13" t="s">
        <v>35</v>
      </c>
      <c r="S287" s="13" t="s">
        <v>35</v>
      </c>
      <c r="T287" s="13" t="s">
        <v>35</v>
      </c>
    </row>
    <row r="288" spans="1:20">
      <c r="A288" s="9" t="s">
        <v>367</v>
      </c>
      <c r="B288" s="9"/>
      <c r="C288" s="22" t="s">
        <v>368</v>
      </c>
      <c r="D288" s="11" t="s">
        <v>119</v>
      </c>
      <c r="E288" s="11" t="s">
        <v>29</v>
      </c>
      <c r="F288" s="15" t="str">
        <f>IF(Tabla15[[#This Row],[Columna1]]="","actividad","subactividad")</f>
        <v>actividad</v>
      </c>
      <c r="G288" s="12" t="s">
        <v>32</v>
      </c>
      <c r="H288" s="19">
        <f t="shared" si="34"/>
        <v>46097</v>
      </c>
      <c r="I288" s="19">
        <f>IF(Tabla15[[#This Row],[Duracion ideal (dia)]]="",I287,Tabla15[[#This Row],[Inicio ideal]]+Tabla15[[#This Row],[Duracion ideal (dia)]])</f>
        <v>46100</v>
      </c>
      <c r="J288" s="12">
        <v>3</v>
      </c>
      <c r="K288" s="19">
        <f>IF(Tabla15[[#This Row],[Duracion Real (dia)]]="",K287,L287)</f>
        <v>46112</v>
      </c>
      <c r="L288" s="19">
        <f>IF(Tabla15[[#This Row],[Duracion Real (dia)]]="",L287,Tabla15[[#This Row],[Inicio Real]]+Tabla15[[#This Row],[Duracion Real (dia)]])</f>
        <v>46115</v>
      </c>
      <c r="M288" s="12">
        <v>3</v>
      </c>
      <c r="N288" s="19" t="s">
        <v>88</v>
      </c>
      <c r="O288" s="13">
        <v>57362.81</v>
      </c>
      <c r="P288" s="13">
        <v>4846.1400000000003</v>
      </c>
      <c r="Q288" s="13">
        <v>62208.95</v>
      </c>
      <c r="R288" s="13">
        <v>60824.36</v>
      </c>
      <c r="S288" s="13">
        <v>74571.653000000006</v>
      </c>
      <c r="T288" s="13">
        <v>74571.653000000006</v>
      </c>
    </row>
    <row r="289" spans="1:20" hidden="1">
      <c r="A289" s="9" t="str">
        <f>CONCATENATE($A$288,".",B289)</f>
        <v>2.1.20.1</v>
      </c>
      <c r="B289" s="9">
        <f>IF(B288=" ",1,B288+1)</f>
        <v>1</v>
      </c>
      <c r="C289" s="20" t="s">
        <v>369</v>
      </c>
      <c r="D289" s="15" t="s">
        <v>119</v>
      </c>
      <c r="E289" s="15" t="s">
        <v>29</v>
      </c>
      <c r="F289" s="15" t="str">
        <f>IF(Tabla15[[#This Row],[Columna1]]="","actividad","subactividad")</f>
        <v>subactividad</v>
      </c>
      <c r="G289" s="16"/>
      <c r="H289" s="19">
        <f t="shared" si="34"/>
        <v>46100</v>
      </c>
      <c r="I289" s="19">
        <f>IF(Tabla15[[#This Row],[Duracion ideal (dia)]]="",I288,Tabla15[[#This Row],[Inicio ideal]]+Tabla15[[#This Row],[Duracion ideal (dia)]])</f>
        <v>46100</v>
      </c>
      <c r="J289" s="16"/>
      <c r="K289" s="19">
        <f>IF(Tabla15[[#This Row],[Duracion Real (dia)]]="",K288,L288)</f>
        <v>46112</v>
      </c>
      <c r="L289" s="19">
        <f>IF(Tabla15[[#This Row],[Duracion Real (dia)]]="",L288,Tabla15[[#This Row],[Inicio Real]]+Tabla15[[#This Row],[Duracion Real (dia)]])</f>
        <v>46115</v>
      </c>
      <c r="M289" s="16"/>
      <c r="N289" s="19" t="s">
        <v>35</v>
      </c>
      <c r="O289" s="13" t="s">
        <v>35</v>
      </c>
      <c r="P289" s="13" t="s">
        <v>35</v>
      </c>
      <c r="Q289" s="13" t="s">
        <v>35</v>
      </c>
      <c r="R289" s="13" t="s">
        <v>35</v>
      </c>
      <c r="S289" s="13" t="s">
        <v>35</v>
      </c>
      <c r="T289" s="13" t="s">
        <v>35</v>
      </c>
    </row>
    <row r="290" spans="1:20" hidden="1">
      <c r="A290" s="9" t="str">
        <f>CONCATENATE($A$288,".",B290)</f>
        <v>2.1.20.2</v>
      </c>
      <c r="B290" s="9">
        <f>IF(B289=" ",1,B289+1)</f>
        <v>2</v>
      </c>
      <c r="C290" s="10" t="s">
        <v>370</v>
      </c>
      <c r="D290" s="11" t="s">
        <v>119</v>
      </c>
      <c r="E290" s="11" t="s">
        <v>29</v>
      </c>
      <c r="F290" s="15" t="str">
        <f>IF(Tabla15[[#This Row],[Columna1]]="","actividad","subactividad")</f>
        <v>subactividad</v>
      </c>
      <c r="G290" s="12"/>
      <c r="H290" s="19">
        <f t="shared" si="34"/>
        <v>46100</v>
      </c>
      <c r="I290" s="19">
        <f>IF(Tabla15[[#This Row],[Duracion ideal (dia)]]="",I289,Tabla15[[#This Row],[Inicio ideal]]+Tabla15[[#This Row],[Duracion ideal (dia)]])</f>
        <v>46100</v>
      </c>
      <c r="J290" s="12"/>
      <c r="K290" s="19">
        <f>IF(Tabla15[[#This Row],[Duracion Real (dia)]]="",K289,L289)</f>
        <v>46112</v>
      </c>
      <c r="L290" s="19">
        <f>IF(Tabla15[[#This Row],[Duracion Real (dia)]]="",L289,Tabla15[[#This Row],[Inicio Real]]+Tabla15[[#This Row],[Duracion Real (dia)]])</f>
        <v>46115</v>
      </c>
      <c r="M290" s="12"/>
      <c r="N290" s="19" t="s">
        <v>35</v>
      </c>
      <c r="O290" s="13" t="s">
        <v>35</v>
      </c>
      <c r="P290" s="13" t="s">
        <v>35</v>
      </c>
      <c r="Q290" s="13" t="s">
        <v>35</v>
      </c>
      <c r="R290" s="13" t="s">
        <v>35</v>
      </c>
      <c r="S290" s="13" t="s">
        <v>35</v>
      </c>
      <c r="T290" s="13" t="s">
        <v>35</v>
      </c>
    </row>
    <row r="291" spans="1:20" hidden="1">
      <c r="A291" s="9" t="str">
        <f>CONCATENATE($A$288,".",B291)</f>
        <v>2.1.20.3</v>
      </c>
      <c r="B291" s="9">
        <f>IF(B290=" ",1,B290+1)</f>
        <v>3</v>
      </c>
      <c r="C291" s="20" t="s">
        <v>371</v>
      </c>
      <c r="D291" s="15" t="s">
        <v>119</v>
      </c>
      <c r="E291" s="15" t="s">
        <v>29</v>
      </c>
      <c r="F291" s="15" t="str">
        <f>IF(Tabla15[[#This Row],[Columna1]]="","actividad","subactividad")</f>
        <v>subactividad</v>
      </c>
      <c r="G291" s="16"/>
      <c r="H291" s="19">
        <f t="shared" si="34"/>
        <v>46100</v>
      </c>
      <c r="I291" s="19">
        <f>IF(Tabla15[[#This Row],[Duracion ideal (dia)]]="",I290,Tabla15[[#This Row],[Inicio ideal]]+Tabla15[[#This Row],[Duracion ideal (dia)]])</f>
        <v>46100</v>
      </c>
      <c r="J291" s="16"/>
      <c r="K291" s="19">
        <f>IF(Tabla15[[#This Row],[Duracion Real (dia)]]="",K290,L290)</f>
        <v>46112</v>
      </c>
      <c r="L291" s="19">
        <f>IF(Tabla15[[#This Row],[Duracion Real (dia)]]="",L290,Tabla15[[#This Row],[Inicio Real]]+Tabla15[[#This Row],[Duracion Real (dia)]])</f>
        <v>46115</v>
      </c>
      <c r="M291" s="16"/>
      <c r="N291" s="19" t="s">
        <v>35</v>
      </c>
      <c r="O291" s="13" t="s">
        <v>35</v>
      </c>
      <c r="P291" s="13" t="s">
        <v>35</v>
      </c>
      <c r="Q291" s="13" t="s">
        <v>35</v>
      </c>
      <c r="R291" s="13" t="s">
        <v>35</v>
      </c>
      <c r="S291" s="13" t="s">
        <v>35</v>
      </c>
      <c r="T291" s="13" t="s">
        <v>35</v>
      </c>
    </row>
    <row r="292" spans="1:20">
      <c r="A292" s="9" t="s">
        <v>372</v>
      </c>
      <c r="B292" s="9"/>
      <c r="C292" s="22" t="s">
        <v>373</v>
      </c>
      <c r="D292" s="11" t="s">
        <v>119</v>
      </c>
      <c r="E292" s="11" t="s">
        <v>29</v>
      </c>
      <c r="F292" s="15" t="str">
        <f>IF(Tabla15[[#This Row],[Columna1]]="","actividad","subactividad")</f>
        <v>actividad</v>
      </c>
      <c r="G292" s="12" t="s">
        <v>32</v>
      </c>
      <c r="H292" s="19">
        <f t="shared" si="34"/>
        <v>46100</v>
      </c>
      <c r="I292" s="19">
        <f>IF(Tabla15[[#This Row],[Duracion ideal (dia)]]="",I291,Tabla15[[#This Row],[Inicio ideal]]+Tabla15[[#This Row],[Duracion ideal (dia)]])</f>
        <v>46104</v>
      </c>
      <c r="J292" s="12">
        <v>4</v>
      </c>
      <c r="K292" s="19">
        <f>IF(Tabla15[[#This Row],[Duracion Real (dia)]]="",K291,L291)</f>
        <v>46115</v>
      </c>
      <c r="L292" s="19">
        <f>IF(Tabla15[[#This Row],[Duracion Real (dia)]]="",L291,Tabla15[[#This Row],[Inicio Real]]+Tabla15[[#This Row],[Duracion Real (dia)]])</f>
        <v>46119</v>
      </c>
      <c r="M292" s="12">
        <v>4</v>
      </c>
      <c r="N292" s="19" t="s">
        <v>33</v>
      </c>
      <c r="O292" s="13">
        <v>57362.81</v>
      </c>
      <c r="P292" s="13">
        <v>5538.48</v>
      </c>
      <c r="Q292" s="13">
        <v>62901.289999999994</v>
      </c>
      <c r="R292" s="13">
        <v>62347.409999999996</v>
      </c>
      <c r="S292" s="13">
        <v>74571.653000000006</v>
      </c>
      <c r="T292" s="13">
        <v>74571.653000000006</v>
      </c>
    </row>
    <row r="293" spans="1:20" hidden="1">
      <c r="A293" s="9" t="str">
        <f>CONCATENATE($A$292,".",B293)</f>
        <v>2.1.21.1</v>
      </c>
      <c r="B293" s="9">
        <f>IF(B292=" ",1,B292+1)</f>
        <v>1</v>
      </c>
      <c r="C293" s="20" t="s">
        <v>374</v>
      </c>
      <c r="D293" s="15" t="s">
        <v>119</v>
      </c>
      <c r="E293" s="15" t="s">
        <v>29</v>
      </c>
      <c r="F293" s="15" t="str">
        <f>IF(Tabla15[[#This Row],[Columna1]]="","actividad","subactividad")</f>
        <v>subactividad</v>
      </c>
      <c r="G293" s="16"/>
      <c r="H293" s="19">
        <f t="shared" si="34"/>
        <v>46104</v>
      </c>
      <c r="I293" s="19">
        <f>IF(Tabla15[[#This Row],[Duracion ideal (dia)]]="",I292,Tabla15[[#This Row],[Inicio ideal]]+Tabla15[[#This Row],[Duracion ideal (dia)]])</f>
        <v>46104</v>
      </c>
      <c r="J293" s="16"/>
      <c r="K293" s="19">
        <f>IF(Tabla15[[#This Row],[Duracion Real (dia)]]="",K292,L292)</f>
        <v>46115</v>
      </c>
      <c r="L293" s="19">
        <f>IF(Tabla15[[#This Row],[Duracion Real (dia)]]="",L292,Tabla15[[#This Row],[Inicio Real]]+Tabla15[[#This Row],[Duracion Real (dia)]])</f>
        <v>46119</v>
      </c>
      <c r="M293" s="16"/>
      <c r="N293" s="19" t="s">
        <v>35</v>
      </c>
      <c r="O293" s="13" t="s">
        <v>35</v>
      </c>
      <c r="P293" s="13" t="s">
        <v>35</v>
      </c>
      <c r="Q293" s="13" t="s">
        <v>35</v>
      </c>
      <c r="R293" s="13" t="s">
        <v>35</v>
      </c>
      <c r="S293" s="13" t="s">
        <v>35</v>
      </c>
      <c r="T293" s="13" t="s">
        <v>35</v>
      </c>
    </row>
    <row r="294" spans="1:20" hidden="1">
      <c r="A294" s="9" t="str">
        <f>CONCATENATE($A$292,".",B294)</f>
        <v>2.1.21.2</v>
      </c>
      <c r="B294" s="9">
        <f>IF(B293=" ",1,B293+1)</f>
        <v>2</v>
      </c>
      <c r="C294" s="10" t="s">
        <v>375</v>
      </c>
      <c r="D294" s="11" t="s">
        <v>119</v>
      </c>
      <c r="E294" s="11" t="s">
        <v>29</v>
      </c>
      <c r="F294" s="15" t="str">
        <f>IF(Tabla15[[#This Row],[Columna1]]="","actividad","subactividad")</f>
        <v>subactividad</v>
      </c>
      <c r="G294" s="12"/>
      <c r="H294" s="19">
        <f t="shared" si="34"/>
        <v>46104</v>
      </c>
      <c r="I294" s="19">
        <f>IF(Tabla15[[#This Row],[Duracion ideal (dia)]]="",I293,Tabla15[[#This Row],[Inicio ideal]]+Tabla15[[#This Row],[Duracion ideal (dia)]])</f>
        <v>46104</v>
      </c>
      <c r="J294" s="12"/>
      <c r="K294" s="19">
        <f>IF(Tabla15[[#This Row],[Duracion Real (dia)]]="",K293,L293)</f>
        <v>46115</v>
      </c>
      <c r="L294" s="19">
        <f>IF(Tabla15[[#This Row],[Duracion Real (dia)]]="",L293,Tabla15[[#This Row],[Inicio Real]]+Tabla15[[#This Row],[Duracion Real (dia)]])</f>
        <v>46119</v>
      </c>
      <c r="M294" s="12"/>
      <c r="N294" s="19" t="s">
        <v>35</v>
      </c>
      <c r="O294" s="13" t="s">
        <v>35</v>
      </c>
      <c r="P294" s="13" t="s">
        <v>35</v>
      </c>
      <c r="Q294" s="13" t="s">
        <v>35</v>
      </c>
      <c r="R294" s="13" t="s">
        <v>35</v>
      </c>
      <c r="S294" s="13" t="s">
        <v>35</v>
      </c>
      <c r="T294" s="13" t="s">
        <v>35</v>
      </c>
    </row>
    <row r="295" spans="1:20" hidden="1">
      <c r="A295" s="9" t="str">
        <f>CONCATENATE($A$292,".",B295)</f>
        <v>2.1.21.3</v>
      </c>
      <c r="B295" s="9">
        <f>IF(B294=" ",1,B294+1)</f>
        <v>3</v>
      </c>
      <c r="C295" s="20" t="s">
        <v>376</v>
      </c>
      <c r="D295" s="15" t="s">
        <v>119</v>
      </c>
      <c r="E295" s="15" t="s">
        <v>29</v>
      </c>
      <c r="F295" s="15" t="str">
        <f>IF(Tabla15[[#This Row],[Columna1]]="","actividad","subactividad")</f>
        <v>subactividad</v>
      </c>
      <c r="G295" s="16"/>
      <c r="H295" s="19">
        <f t="shared" si="34"/>
        <v>46104</v>
      </c>
      <c r="I295" s="19">
        <f>IF(Tabla15[[#This Row],[Duracion ideal (dia)]]="",I294,Tabla15[[#This Row],[Inicio ideal]]+Tabla15[[#This Row],[Duracion ideal (dia)]])</f>
        <v>46104</v>
      </c>
      <c r="J295" s="16"/>
      <c r="K295" s="19">
        <f>IF(Tabla15[[#This Row],[Duracion Real (dia)]]="",K294,L294)</f>
        <v>46115</v>
      </c>
      <c r="L295" s="19">
        <f>IF(Tabla15[[#This Row],[Duracion Real (dia)]]="",L294,Tabla15[[#This Row],[Inicio Real]]+Tabla15[[#This Row],[Duracion Real (dia)]])</f>
        <v>46119</v>
      </c>
      <c r="M295" s="16"/>
      <c r="N295" s="19" t="s">
        <v>35</v>
      </c>
      <c r="O295" s="13" t="s">
        <v>35</v>
      </c>
      <c r="P295" s="13" t="s">
        <v>35</v>
      </c>
      <c r="Q295" s="13" t="s">
        <v>35</v>
      </c>
      <c r="R295" s="13" t="s">
        <v>35</v>
      </c>
      <c r="S295" s="13" t="s">
        <v>35</v>
      </c>
      <c r="T295" s="13" t="s">
        <v>35</v>
      </c>
    </row>
    <row r="296" spans="1:20">
      <c r="A296" s="9" t="s">
        <v>377</v>
      </c>
      <c r="B296" s="9"/>
      <c r="C296" s="22" t="s">
        <v>378</v>
      </c>
      <c r="D296" s="11" t="s">
        <v>119</v>
      </c>
      <c r="E296" s="11" t="s">
        <v>29</v>
      </c>
      <c r="F296" s="15" t="str">
        <f>IF(Tabla15[[#This Row],[Columna1]]="","actividad","subactividad")</f>
        <v>actividad</v>
      </c>
      <c r="G296" s="12" t="s">
        <v>32</v>
      </c>
      <c r="H296" s="19">
        <f t="shared" si="34"/>
        <v>46104</v>
      </c>
      <c r="I296" s="19">
        <f>IF(Tabla15[[#This Row],[Duracion ideal (dia)]]="",I295,Tabla15[[#This Row],[Inicio ideal]]+Tabla15[[#This Row],[Duracion ideal (dia)]])</f>
        <v>46109</v>
      </c>
      <c r="J296" s="12">
        <v>5</v>
      </c>
      <c r="K296" s="19">
        <f>IF(Tabla15[[#This Row],[Duracion Real (dia)]]="",K295,L295)</f>
        <v>46119</v>
      </c>
      <c r="L296" s="19">
        <f>IF(Tabla15[[#This Row],[Duracion Real (dia)]]="",L295,Tabla15[[#This Row],[Inicio Real]]+Tabla15[[#This Row],[Duracion Real (dia)]])</f>
        <v>46124</v>
      </c>
      <c r="M296" s="12">
        <v>5</v>
      </c>
      <c r="N296" s="19" t="s">
        <v>69</v>
      </c>
      <c r="O296" s="13">
        <v>57362.81</v>
      </c>
      <c r="P296" s="13">
        <v>5769.25</v>
      </c>
      <c r="Q296" s="13">
        <v>63132.06</v>
      </c>
      <c r="R296" s="13">
        <v>65439.71</v>
      </c>
      <c r="S296" s="13">
        <v>74571.653000000006</v>
      </c>
      <c r="T296" s="13">
        <v>74571.653000000006</v>
      </c>
    </row>
    <row r="297" spans="1:20" hidden="1">
      <c r="A297" s="9" t="str">
        <f>CONCATENATE($A$296,".",B297)</f>
        <v>2.1.22.1</v>
      </c>
      <c r="B297" s="9">
        <f>IF(B296=" ",1,B296+1)</f>
        <v>1</v>
      </c>
      <c r="C297" s="20" t="s">
        <v>379</v>
      </c>
      <c r="D297" s="15" t="s">
        <v>119</v>
      </c>
      <c r="E297" s="15" t="s">
        <v>29</v>
      </c>
      <c r="F297" s="15" t="str">
        <f>IF(Tabla15[[#This Row],[Columna1]]="","actividad","subactividad")</f>
        <v>subactividad</v>
      </c>
      <c r="G297" s="16"/>
      <c r="H297" s="19">
        <f t="shared" si="34"/>
        <v>46109</v>
      </c>
      <c r="I297" s="19">
        <f>IF(Tabla15[[#This Row],[Duracion ideal (dia)]]="",I296,Tabla15[[#This Row],[Inicio ideal]]+Tabla15[[#This Row],[Duracion ideal (dia)]])</f>
        <v>46109</v>
      </c>
      <c r="J297" s="16"/>
      <c r="K297" s="19">
        <f>IF(Tabla15[[#This Row],[Duracion Real (dia)]]="",K296,L296)</f>
        <v>46119</v>
      </c>
      <c r="L297" s="19">
        <f>IF(Tabla15[[#This Row],[Duracion Real (dia)]]="",L296,Tabla15[[#This Row],[Inicio Real]]+Tabla15[[#This Row],[Duracion Real (dia)]])</f>
        <v>46124</v>
      </c>
      <c r="M297" s="16"/>
      <c r="N297" s="19" t="s">
        <v>35</v>
      </c>
      <c r="O297" s="13" t="s">
        <v>35</v>
      </c>
      <c r="P297" s="13" t="s">
        <v>35</v>
      </c>
      <c r="Q297" s="13" t="s">
        <v>35</v>
      </c>
      <c r="R297" s="13" t="s">
        <v>35</v>
      </c>
      <c r="S297" s="13" t="s">
        <v>35</v>
      </c>
      <c r="T297" s="13" t="s">
        <v>35</v>
      </c>
    </row>
    <row r="298" spans="1:20" hidden="1">
      <c r="A298" s="9" t="str">
        <f>CONCATENATE($A$296,".",B298)</f>
        <v>2.1.22.2</v>
      </c>
      <c r="B298" s="9">
        <f>IF(B297=" ",1,B297+1)</f>
        <v>2</v>
      </c>
      <c r="C298" s="10" t="s">
        <v>380</v>
      </c>
      <c r="D298" s="11" t="s">
        <v>119</v>
      </c>
      <c r="E298" s="11" t="s">
        <v>29</v>
      </c>
      <c r="F298" s="15" t="str">
        <f>IF(Tabla15[[#This Row],[Columna1]]="","actividad","subactividad")</f>
        <v>subactividad</v>
      </c>
      <c r="G298" s="12"/>
      <c r="H298" s="19">
        <f t="shared" ref="H298:H361" si="41">I297</f>
        <v>46109</v>
      </c>
      <c r="I298" s="19">
        <f>IF(Tabla15[[#This Row],[Duracion ideal (dia)]]="",I297,Tabla15[[#This Row],[Inicio ideal]]+Tabla15[[#This Row],[Duracion ideal (dia)]])</f>
        <v>46109</v>
      </c>
      <c r="J298" s="12"/>
      <c r="K298" s="19">
        <f>IF(Tabla15[[#This Row],[Duracion Real (dia)]]="",K297,L297)</f>
        <v>46119</v>
      </c>
      <c r="L298" s="19">
        <f>IF(Tabla15[[#This Row],[Duracion Real (dia)]]="",L297,Tabla15[[#This Row],[Inicio Real]]+Tabla15[[#This Row],[Duracion Real (dia)]])</f>
        <v>46124</v>
      </c>
      <c r="M298" s="12"/>
      <c r="N298" s="19" t="s">
        <v>35</v>
      </c>
      <c r="O298" s="13" t="s">
        <v>35</v>
      </c>
      <c r="P298" s="13" t="s">
        <v>35</v>
      </c>
      <c r="Q298" s="13" t="s">
        <v>35</v>
      </c>
      <c r="R298" s="13" t="s">
        <v>35</v>
      </c>
      <c r="S298" s="13" t="s">
        <v>35</v>
      </c>
      <c r="T298" s="13" t="s">
        <v>35</v>
      </c>
    </row>
    <row r="299" spans="1:20" hidden="1">
      <c r="A299" s="9" t="str">
        <f>CONCATENATE($A$296,".",B299)</f>
        <v>2.1.22.3</v>
      </c>
      <c r="B299" s="9">
        <f>IF(B298=" ",1,B298+1)</f>
        <v>3</v>
      </c>
      <c r="C299" s="20" t="s">
        <v>381</v>
      </c>
      <c r="D299" s="15" t="s">
        <v>119</v>
      </c>
      <c r="E299" s="15" t="s">
        <v>29</v>
      </c>
      <c r="F299" s="15" t="str">
        <f>IF(Tabla15[[#This Row],[Columna1]]="","actividad","subactividad")</f>
        <v>subactividad</v>
      </c>
      <c r="G299" s="16"/>
      <c r="H299" s="19">
        <f t="shared" si="41"/>
        <v>46109</v>
      </c>
      <c r="I299" s="19">
        <f>IF(Tabla15[[#This Row],[Duracion ideal (dia)]]="",I298,Tabla15[[#This Row],[Inicio ideal]]+Tabla15[[#This Row],[Duracion ideal (dia)]])</f>
        <v>46109</v>
      </c>
      <c r="J299" s="16"/>
      <c r="K299" s="19">
        <f>IF(Tabla15[[#This Row],[Duracion Real (dia)]]="",K298,L298)</f>
        <v>46119</v>
      </c>
      <c r="L299" s="19">
        <f>IF(Tabla15[[#This Row],[Duracion Real (dia)]]="",L298,Tabla15[[#This Row],[Inicio Real]]+Tabla15[[#This Row],[Duracion Real (dia)]])</f>
        <v>46124</v>
      </c>
      <c r="M299" s="16"/>
      <c r="N299" s="19" t="s">
        <v>35</v>
      </c>
      <c r="O299" s="13" t="s">
        <v>35</v>
      </c>
      <c r="P299" s="13" t="s">
        <v>35</v>
      </c>
      <c r="Q299" s="13" t="s">
        <v>35</v>
      </c>
      <c r="R299" s="13" t="s">
        <v>35</v>
      </c>
      <c r="S299" s="13" t="s">
        <v>35</v>
      </c>
      <c r="T299" s="13" t="s">
        <v>35</v>
      </c>
    </row>
    <row r="300" spans="1:20">
      <c r="A300" s="9" t="s">
        <v>382</v>
      </c>
      <c r="B300" s="9"/>
      <c r="C300" s="22" t="s">
        <v>383</v>
      </c>
      <c r="D300" s="11" t="s">
        <v>119</v>
      </c>
      <c r="E300" s="11" t="s">
        <v>29</v>
      </c>
      <c r="F300" s="15" t="str">
        <f>IF(Tabla15[[#This Row],[Columna1]]="","actividad","subactividad")</f>
        <v>actividad</v>
      </c>
      <c r="G300" s="12" t="s">
        <v>32</v>
      </c>
      <c r="H300" s="19">
        <f t="shared" si="41"/>
        <v>46109</v>
      </c>
      <c r="I300" s="19">
        <f>IF(Tabla15[[#This Row],[Duracion ideal (dia)]]="",I299,Tabla15[[#This Row],[Inicio ideal]]+Tabla15[[#This Row],[Duracion ideal (dia)]])</f>
        <v>46113</v>
      </c>
      <c r="J300" s="12">
        <v>4</v>
      </c>
      <c r="K300" s="19">
        <f>IF(Tabla15[[#This Row],[Duracion Real (dia)]]="",K299,L299)</f>
        <v>46124</v>
      </c>
      <c r="L300" s="19">
        <f>IF(Tabla15[[#This Row],[Duracion Real (dia)]]="",L299,Tabla15[[#This Row],[Inicio Real]]+Tabla15[[#This Row],[Duracion Real (dia)]])</f>
        <v>46128</v>
      </c>
      <c r="M300" s="12">
        <v>4</v>
      </c>
      <c r="N300" s="19" t="s">
        <v>60</v>
      </c>
      <c r="O300" s="13">
        <v>57362.81</v>
      </c>
      <c r="P300" s="13">
        <v>7380.6</v>
      </c>
      <c r="Q300" s="13">
        <v>64743.409999999996</v>
      </c>
      <c r="R300" s="13">
        <v>64743.409999999996</v>
      </c>
      <c r="S300" s="13">
        <v>74571.653000000006</v>
      </c>
      <c r="T300" s="13">
        <v>74571.653000000006</v>
      </c>
    </row>
    <row r="301" spans="1:20" hidden="1">
      <c r="A301" s="9" t="str">
        <f>CONCATENATE($A$300,".",B301)</f>
        <v>2.1.23.1</v>
      </c>
      <c r="B301" s="9">
        <f>IF(B300=" ",1,B300+1)</f>
        <v>1</v>
      </c>
      <c r="C301" s="20" t="s">
        <v>384</v>
      </c>
      <c r="D301" s="15" t="s">
        <v>119</v>
      </c>
      <c r="E301" s="15" t="s">
        <v>29</v>
      </c>
      <c r="F301" s="15" t="str">
        <f>IF(Tabla15[[#This Row],[Columna1]]="","actividad","subactividad")</f>
        <v>subactividad</v>
      </c>
      <c r="G301" s="16"/>
      <c r="H301" s="19">
        <f t="shared" si="41"/>
        <v>46113</v>
      </c>
      <c r="I301" s="19">
        <f>IF(Tabla15[[#This Row],[Duracion ideal (dia)]]="",I300,Tabla15[[#This Row],[Inicio ideal]]+Tabla15[[#This Row],[Duracion ideal (dia)]])</f>
        <v>46113</v>
      </c>
      <c r="J301" s="16"/>
      <c r="K301" s="19">
        <f>IF(Tabla15[[#This Row],[Duracion Real (dia)]]="",K300,L300)</f>
        <v>46124</v>
      </c>
      <c r="L301" s="19">
        <f>IF(Tabla15[[#This Row],[Duracion Real (dia)]]="",L300,Tabla15[[#This Row],[Inicio Real]]+Tabla15[[#This Row],[Duracion Real (dia)]])</f>
        <v>46128</v>
      </c>
      <c r="M301" s="16"/>
      <c r="N301" s="19" t="s">
        <v>35</v>
      </c>
      <c r="O301" s="13" t="s">
        <v>35</v>
      </c>
      <c r="P301" s="13" t="s">
        <v>35</v>
      </c>
      <c r="Q301" s="13" t="s">
        <v>35</v>
      </c>
      <c r="R301" s="13" t="s">
        <v>35</v>
      </c>
      <c r="S301" s="13" t="s">
        <v>35</v>
      </c>
      <c r="T301" s="13" t="s">
        <v>35</v>
      </c>
    </row>
    <row r="302" spans="1:20" hidden="1">
      <c r="A302" s="9" t="str">
        <f>CONCATENATE($A$300,".",B302)</f>
        <v>2.1.23.2</v>
      </c>
      <c r="B302" s="9">
        <f>IF(B301=" ",1,B301+1)</f>
        <v>2</v>
      </c>
      <c r="C302" s="10" t="s">
        <v>385</v>
      </c>
      <c r="D302" s="11" t="s">
        <v>119</v>
      </c>
      <c r="E302" s="11" t="s">
        <v>29</v>
      </c>
      <c r="F302" s="15" t="str">
        <f>IF(Tabla15[[#This Row],[Columna1]]="","actividad","subactividad")</f>
        <v>subactividad</v>
      </c>
      <c r="G302" s="12"/>
      <c r="H302" s="19">
        <f t="shared" si="41"/>
        <v>46113</v>
      </c>
      <c r="I302" s="19">
        <f>IF(Tabla15[[#This Row],[Duracion ideal (dia)]]="",I301,Tabla15[[#This Row],[Inicio ideal]]+Tabla15[[#This Row],[Duracion ideal (dia)]])</f>
        <v>46113</v>
      </c>
      <c r="J302" s="12"/>
      <c r="K302" s="19">
        <f>IF(Tabla15[[#This Row],[Duracion Real (dia)]]="",K301,L301)</f>
        <v>46124</v>
      </c>
      <c r="L302" s="19">
        <f>IF(Tabla15[[#This Row],[Duracion Real (dia)]]="",L301,Tabla15[[#This Row],[Inicio Real]]+Tabla15[[#This Row],[Duracion Real (dia)]])</f>
        <v>46128</v>
      </c>
      <c r="M302" s="12"/>
      <c r="N302" s="19" t="s">
        <v>35</v>
      </c>
      <c r="O302" s="13" t="s">
        <v>35</v>
      </c>
      <c r="P302" s="13" t="s">
        <v>35</v>
      </c>
      <c r="Q302" s="13" t="s">
        <v>35</v>
      </c>
      <c r="R302" s="13" t="s">
        <v>35</v>
      </c>
      <c r="S302" s="13" t="s">
        <v>35</v>
      </c>
      <c r="T302" s="13" t="s">
        <v>35</v>
      </c>
    </row>
    <row r="303" spans="1:20" hidden="1">
      <c r="A303" s="9" t="str">
        <f>CONCATENATE($A$300,".",B303)</f>
        <v>2.1.23.3</v>
      </c>
      <c r="B303" s="9">
        <f>IF(B302=" ",1,B302+1)</f>
        <v>3</v>
      </c>
      <c r="C303" s="20" t="s">
        <v>386</v>
      </c>
      <c r="D303" s="15" t="s">
        <v>119</v>
      </c>
      <c r="E303" s="15" t="s">
        <v>29</v>
      </c>
      <c r="F303" s="15" t="str">
        <f>IF(Tabla15[[#This Row],[Columna1]]="","actividad","subactividad")</f>
        <v>subactividad</v>
      </c>
      <c r="G303" s="16"/>
      <c r="H303" s="19">
        <f t="shared" si="41"/>
        <v>46113</v>
      </c>
      <c r="I303" s="19">
        <f>IF(Tabla15[[#This Row],[Duracion ideal (dia)]]="",I302,Tabla15[[#This Row],[Inicio ideal]]+Tabla15[[#This Row],[Duracion ideal (dia)]])</f>
        <v>46113</v>
      </c>
      <c r="J303" s="16"/>
      <c r="K303" s="19">
        <f>IF(Tabla15[[#This Row],[Duracion Real (dia)]]="",K302,L302)</f>
        <v>46124</v>
      </c>
      <c r="L303" s="19">
        <f>IF(Tabla15[[#This Row],[Duracion Real (dia)]]="",L302,Tabla15[[#This Row],[Inicio Real]]+Tabla15[[#This Row],[Duracion Real (dia)]])</f>
        <v>46128</v>
      </c>
      <c r="M303" s="16"/>
      <c r="N303" s="19" t="s">
        <v>35</v>
      </c>
      <c r="O303" s="13" t="s">
        <v>35</v>
      </c>
      <c r="P303" s="13" t="s">
        <v>35</v>
      </c>
      <c r="Q303" s="13" t="s">
        <v>35</v>
      </c>
      <c r="R303" s="13" t="s">
        <v>35</v>
      </c>
      <c r="S303" s="13" t="s">
        <v>35</v>
      </c>
      <c r="T303" s="13" t="s">
        <v>35</v>
      </c>
    </row>
    <row r="304" spans="1:20">
      <c r="A304" s="9" t="s">
        <v>387</v>
      </c>
      <c r="B304" s="9"/>
      <c r="C304" s="22" t="s">
        <v>388</v>
      </c>
      <c r="D304" s="11" t="s">
        <v>119</v>
      </c>
      <c r="E304" s="11" t="s">
        <v>29</v>
      </c>
      <c r="F304" s="15" t="str">
        <f>IF(Tabla15[[#This Row],[Columna1]]="","actividad","subactividad")</f>
        <v>actividad</v>
      </c>
      <c r="G304" s="12" t="s">
        <v>32</v>
      </c>
      <c r="H304" s="19">
        <f t="shared" si="41"/>
        <v>46113</v>
      </c>
      <c r="I304" s="19">
        <f>IF(Tabla15[[#This Row],[Duracion ideal (dia)]]="",I303,Tabla15[[#This Row],[Inicio ideal]]+Tabla15[[#This Row],[Duracion ideal (dia)]])</f>
        <v>46114</v>
      </c>
      <c r="J304" s="12">
        <v>1</v>
      </c>
      <c r="K304" s="19">
        <f>IF(Tabla15[[#This Row],[Duracion Real (dia)]]="",K303,L303)</f>
        <v>46128</v>
      </c>
      <c r="L304" s="19">
        <f>IF(Tabla15[[#This Row],[Duracion Real (dia)]]="",L303,Tabla15[[#This Row],[Inicio Real]]+Tabla15[[#This Row],[Duracion Real (dia)]])</f>
        <v>46129</v>
      </c>
      <c r="M304" s="12">
        <v>1</v>
      </c>
      <c r="N304" s="19" t="s">
        <v>69</v>
      </c>
      <c r="O304" s="13">
        <v>57362.81</v>
      </c>
      <c r="P304" s="13">
        <v>1246.1500000000001</v>
      </c>
      <c r="Q304" s="13">
        <v>58608.959999999999</v>
      </c>
      <c r="R304" s="13">
        <v>58978.189999999995</v>
      </c>
      <c r="S304" s="13">
        <v>74571.653000000006</v>
      </c>
      <c r="T304" s="13">
        <v>74571.653000000006</v>
      </c>
    </row>
    <row r="305" spans="1:20" hidden="1">
      <c r="A305" s="9" t="str">
        <f t="shared" ref="A305:A316" si="42">CONCATENATE($A$304,".",B305)</f>
        <v>2.1.24.1</v>
      </c>
      <c r="B305" s="9">
        <f t="shared" ref="B305:B316" si="43">IF(B304=" ",1,B304+1)</f>
        <v>1</v>
      </c>
      <c r="C305" s="20" t="s">
        <v>389</v>
      </c>
      <c r="D305" s="15" t="s">
        <v>119</v>
      </c>
      <c r="E305" s="15" t="s">
        <v>29</v>
      </c>
      <c r="F305" s="15" t="str">
        <f>IF(Tabla15[[#This Row],[Columna1]]="","actividad","subactividad")</f>
        <v>subactividad</v>
      </c>
      <c r="G305" s="16"/>
      <c r="H305" s="19">
        <f t="shared" si="41"/>
        <v>46114</v>
      </c>
      <c r="I305" s="19">
        <f>IF(Tabla15[[#This Row],[Duracion ideal (dia)]]="",I304,Tabla15[[#This Row],[Inicio ideal]]+Tabla15[[#This Row],[Duracion ideal (dia)]])</f>
        <v>46114</v>
      </c>
      <c r="J305" s="16"/>
      <c r="K305" s="19">
        <f>IF(Tabla15[[#This Row],[Duracion Real (dia)]]="",K304,L304)</f>
        <v>46128</v>
      </c>
      <c r="L305" s="19">
        <f>IF(Tabla15[[#This Row],[Duracion Real (dia)]]="",L304,Tabla15[[#This Row],[Inicio Real]]+Tabla15[[#This Row],[Duracion Real (dia)]])</f>
        <v>46129</v>
      </c>
      <c r="M305" s="16"/>
      <c r="N305" s="19" t="s">
        <v>35</v>
      </c>
      <c r="O305" s="13" t="s">
        <v>35</v>
      </c>
      <c r="P305" s="13" t="s">
        <v>35</v>
      </c>
      <c r="Q305" s="13" t="s">
        <v>35</v>
      </c>
      <c r="R305" s="13" t="s">
        <v>35</v>
      </c>
      <c r="S305" s="13" t="s">
        <v>35</v>
      </c>
      <c r="T305" s="13" t="s">
        <v>35</v>
      </c>
    </row>
    <row r="306" spans="1:20" hidden="1">
      <c r="A306" s="9" t="str">
        <f t="shared" si="42"/>
        <v>2.1.24.2</v>
      </c>
      <c r="B306" s="9">
        <f t="shared" si="43"/>
        <v>2</v>
      </c>
      <c r="C306" s="10" t="s">
        <v>390</v>
      </c>
      <c r="D306" s="11" t="s">
        <v>119</v>
      </c>
      <c r="E306" s="11" t="s">
        <v>29</v>
      </c>
      <c r="F306" s="15" t="str">
        <f>IF(Tabla15[[#This Row],[Columna1]]="","actividad","subactividad")</f>
        <v>subactividad</v>
      </c>
      <c r="G306" s="12"/>
      <c r="H306" s="19">
        <f t="shared" si="41"/>
        <v>46114</v>
      </c>
      <c r="I306" s="19">
        <f>IF(Tabla15[[#This Row],[Duracion ideal (dia)]]="",I305,Tabla15[[#This Row],[Inicio ideal]]+Tabla15[[#This Row],[Duracion ideal (dia)]])</f>
        <v>46114</v>
      </c>
      <c r="J306" s="12"/>
      <c r="K306" s="19">
        <f>IF(Tabla15[[#This Row],[Duracion Real (dia)]]="",K305,L305)</f>
        <v>46128</v>
      </c>
      <c r="L306" s="19">
        <f>IF(Tabla15[[#This Row],[Duracion Real (dia)]]="",L305,Tabla15[[#This Row],[Inicio Real]]+Tabla15[[#This Row],[Duracion Real (dia)]])</f>
        <v>46129</v>
      </c>
      <c r="M306" s="12"/>
      <c r="N306" s="19" t="s">
        <v>35</v>
      </c>
      <c r="O306" s="13" t="s">
        <v>35</v>
      </c>
      <c r="P306" s="13" t="s">
        <v>35</v>
      </c>
      <c r="Q306" s="13" t="s">
        <v>35</v>
      </c>
      <c r="R306" s="13" t="s">
        <v>35</v>
      </c>
      <c r="S306" s="13" t="s">
        <v>35</v>
      </c>
      <c r="T306" s="13" t="s">
        <v>35</v>
      </c>
    </row>
    <row r="307" spans="1:20" hidden="1">
      <c r="A307" s="9" t="str">
        <f t="shared" si="42"/>
        <v>2.1.24.3</v>
      </c>
      <c r="B307" s="9">
        <f t="shared" si="43"/>
        <v>3</v>
      </c>
      <c r="C307" s="20" t="s">
        <v>391</v>
      </c>
      <c r="D307" s="15" t="s">
        <v>119</v>
      </c>
      <c r="E307" s="15" t="s">
        <v>29</v>
      </c>
      <c r="F307" s="15" t="str">
        <f>IF(Tabla15[[#This Row],[Columna1]]="","actividad","subactividad")</f>
        <v>subactividad</v>
      </c>
      <c r="G307" s="16"/>
      <c r="H307" s="19">
        <f t="shared" si="41"/>
        <v>46114</v>
      </c>
      <c r="I307" s="19">
        <f>IF(Tabla15[[#This Row],[Duracion ideal (dia)]]="",I306,Tabla15[[#This Row],[Inicio ideal]]+Tabla15[[#This Row],[Duracion ideal (dia)]])</f>
        <v>46114</v>
      </c>
      <c r="J307" s="16"/>
      <c r="K307" s="19">
        <f>IF(Tabla15[[#This Row],[Duracion Real (dia)]]="",K306,L306)</f>
        <v>46128</v>
      </c>
      <c r="L307" s="19">
        <f>IF(Tabla15[[#This Row],[Duracion Real (dia)]]="",L306,Tabla15[[#This Row],[Inicio Real]]+Tabla15[[#This Row],[Duracion Real (dia)]])</f>
        <v>46129</v>
      </c>
      <c r="M307" s="16"/>
      <c r="N307" s="19" t="s">
        <v>35</v>
      </c>
      <c r="O307" s="13" t="s">
        <v>35</v>
      </c>
      <c r="P307" s="13" t="s">
        <v>35</v>
      </c>
      <c r="Q307" s="13" t="s">
        <v>35</v>
      </c>
      <c r="R307" s="13" t="s">
        <v>35</v>
      </c>
      <c r="S307" s="13" t="s">
        <v>35</v>
      </c>
      <c r="T307" s="13" t="s">
        <v>35</v>
      </c>
    </row>
    <row r="308" spans="1:20" hidden="1">
      <c r="A308" s="9" t="str">
        <f t="shared" si="42"/>
        <v>2.1.24.4</v>
      </c>
      <c r="B308" s="9">
        <f t="shared" si="43"/>
        <v>4</v>
      </c>
      <c r="C308" s="10" t="s">
        <v>392</v>
      </c>
      <c r="D308" s="11" t="s">
        <v>119</v>
      </c>
      <c r="E308" s="11" t="s">
        <v>29</v>
      </c>
      <c r="F308" s="15" t="str">
        <f>IF(Tabla15[[#This Row],[Columna1]]="","actividad","subactividad")</f>
        <v>subactividad</v>
      </c>
      <c r="G308" s="12"/>
      <c r="H308" s="19">
        <f t="shared" si="41"/>
        <v>46114</v>
      </c>
      <c r="I308" s="19">
        <f>IF(Tabla15[[#This Row],[Duracion ideal (dia)]]="",I307,Tabla15[[#This Row],[Inicio ideal]]+Tabla15[[#This Row],[Duracion ideal (dia)]])</f>
        <v>46114</v>
      </c>
      <c r="J308" s="12"/>
      <c r="K308" s="19">
        <f>IF(Tabla15[[#This Row],[Duracion Real (dia)]]="",K307,L307)</f>
        <v>46128</v>
      </c>
      <c r="L308" s="19">
        <f>IF(Tabla15[[#This Row],[Duracion Real (dia)]]="",L307,Tabla15[[#This Row],[Inicio Real]]+Tabla15[[#This Row],[Duracion Real (dia)]])</f>
        <v>46129</v>
      </c>
      <c r="M308" s="12"/>
      <c r="N308" s="19" t="s">
        <v>35</v>
      </c>
      <c r="O308" s="13" t="s">
        <v>35</v>
      </c>
      <c r="P308" s="13" t="s">
        <v>35</v>
      </c>
      <c r="Q308" s="13" t="s">
        <v>35</v>
      </c>
      <c r="R308" s="13" t="s">
        <v>35</v>
      </c>
      <c r="S308" s="13" t="s">
        <v>35</v>
      </c>
      <c r="T308" s="13" t="s">
        <v>35</v>
      </c>
    </row>
    <row r="309" spans="1:20" hidden="1">
      <c r="A309" s="9" t="str">
        <f t="shared" si="42"/>
        <v>2.1.24.5</v>
      </c>
      <c r="B309" s="9">
        <f t="shared" si="43"/>
        <v>5</v>
      </c>
      <c r="C309" s="20" t="s">
        <v>393</v>
      </c>
      <c r="D309" s="15" t="s">
        <v>119</v>
      </c>
      <c r="E309" s="15" t="s">
        <v>29</v>
      </c>
      <c r="F309" s="15" t="str">
        <f>IF(Tabla15[[#This Row],[Columna1]]="","actividad","subactividad")</f>
        <v>subactividad</v>
      </c>
      <c r="G309" s="16"/>
      <c r="H309" s="19">
        <f t="shared" si="41"/>
        <v>46114</v>
      </c>
      <c r="I309" s="19">
        <f>IF(Tabla15[[#This Row],[Duracion ideal (dia)]]="",I308,Tabla15[[#This Row],[Inicio ideal]]+Tabla15[[#This Row],[Duracion ideal (dia)]])</f>
        <v>46114</v>
      </c>
      <c r="J309" s="16"/>
      <c r="K309" s="19">
        <f>IF(Tabla15[[#This Row],[Duracion Real (dia)]]="",K308,L308)</f>
        <v>46128</v>
      </c>
      <c r="L309" s="19">
        <f>IF(Tabla15[[#This Row],[Duracion Real (dia)]]="",L308,Tabla15[[#This Row],[Inicio Real]]+Tabla15[[#This Row],[Duracion Real (dia)]])</f>
        <v>46129</v>
      </c>
      <c r="M309" s="16"/>
      <c r="N309" s="19" t="s">
        <v>35</v>
      </c>
      <c r="O309" s="13" t="s">
        <v>35</v>
      </c>
      <c r="P309" s="13" t="s">
        <v>35</v>
      </c>
      <c r="Q309" s="13" t="s">
        <v>35</v>
      </c>
      <c r="R309" s="13" t="s">
        <v>35</v>
      </c>
      <c r="S309" s="13" t="s">
        <v>35</v>
      </c>
      <c r="T309" s="13" t="s">
        <v>35</v>
      </c>
    </row>
    <row r="310" spans="1:20" hidden="1">
      <c r="A310" s="9" t="str">
        <f t="shared" si="42"/>
        <v>2.1.24.6</v>
      </c>
      <c r="B310" s="9">
        <f t="shared" si="43"/>
        <v>6</v>
      </c>
      <c r="C310" s="10" t="s">
        <v>394</v>
      </c>
      <c r="D310" s="11" t="s">
        <v>119</v>
      </c>
      <c r="E310" s="11" t="s">
        <v>29</v>
      </c>
      <c r="F310" s="15" t="str">
        <f>IF(Tabla15[[#This Row],[Columna1]]="","actividad","subactividad")</f>
        <v>subactividad</v>
      </c>
      <c r="G310" s="12"/>
      <c r="H310" s="19">
        <f t="shared" si="41"/>
        <v>46114</v>
      </c>
      <c r="I310" s="19">
        <f>IF(Tabla15[[#This Row],[Duracion ideal (dia)]]="",I309,Tabla15[[#This Row],[Inicio ideal]]+Tabla15[[#This Row],[Duracion ideal (dia)]])</f>
        <v>46114</v>
      </c>
      <c r="J310" s="12"/>
      <c r="K310" s="19">
        <f>IF(Tabla15[[#This Row],[Duracion Real (dia)]]="",K309,L309)</f>
        <v>46128</v>
      </c>
      <c r="L310" s="19">
        <f>IF(Tabla15[[#This Row],[Duracion Real (dia)]]="",L309,Tabla15[[#This Row],[Inicio Real]]+Tabla15[[#This Row],[Duracion Real (dia)]])</f>
        <v>46129</v>
      </c>
      <c r="M310" s="12"/>
      <c r="N310" s="19" t="s">
        <v>35</v>
      </c>
      <c r="O310" s="13" t="s">
        <v>35</v>
      </c>
      <c r="P310" s="13" t="s">
        <v>35</v>
      </c>
      <c r="Q310" s="13" t="s">
        <v>35</v>
      </c>
      <c r="R310" s="13" t="s">
        <v>35</v>
      </c>
      <c r="S310" s="13" t="s">
        <v>35</v>
      </c>
      <c r="T310" s="13" t="s">
        <v>35</v>
      </c>
    </row>
    <row r="311" spans="1:20" hidden="1">
      <c r="A311" s="9" t="str">
        <f t="shared" si="42"/>
        <v>2.1.24.7</v>
      </c>
      <c r="B311" s="9">
        <f t="shared" si="43"/>
        <v>7</v>
      </c>
      <c r="C311" s="20" t="s">
        <v>395</v>
      </c>
      <c r="D311" s="15" t="s">
        <v>119</v>
      </c>
      <c r="E311" s="15" t="s">
        <v>29</v>
      </c>
      <c r="F311" s="15" t="str">
        <f>IF(Tabla15[[#This Row],[Columna1]]="","actividad","subactividad")</f>
        <v>subactividad</v>
      </c>
      <c r="G311" s="16"/>
      <c r="H311" s="19">
        <f t="shared" si="41"/>
        <v>46114</v>
      </c>
      <c r="I311" s="19">
        <f>IF(Tabla15[[#This Row],[Duracion ideal (dia)]]="",I310,Tabla15[[#This Row],[Inicio ideal]]+Tabla15[[#This Row],[Duracion ideal (dia)]])</f>
        <v>46114</v>
      </c>
      <c r="J311" s="16"/>
      <c r="K311" s="19">
        <f>IF(Tabla15[[#This Row],[Duracion Real (dia)]]="",K310,L310)</f>
        <v>46128</v>
      </c>
      <c r="L311" s="19">
        <f>IF(Tabla15[[#This Row],[Duracion Real (dia)]]="",L310,Tabla15[[#This Row],[Inicio Real]]+Tabla15[[#This Row],[Duracion Real (dia)]])</f>
        <v>46129</v>
      </c>
      <c r="M311" s="16"/>
      <c r="N311" s="19" t="s">
        <v>35</v>
      </c>
      <c r="O311" s="13" t="s">
        <v>35</v>
      </c>
      <c r="P311" s="13" t="s">
        <v>35</v>
      </c>
      <c r="Q311" s="13" t="s">
        <v>35</v>
      </c>
      <c r="R311" s="13" t="s">
        <v>35</v>
      </c>
      <c r="S311" s="13" t="s">
        <v>35</v>
      </c>
      <c r="T311" s="13" t="s">
        <v>35</v>
      </c>
    </row>
    <row r="312" spans="1:20" hidden="1">
      <c r="A312" s="9" t="str">
        <f t="shared" si="42"/>
        <v>2.1.24.8</v>
      </c>
      <c r="B312" s="9">
        <f t="shared" si="43"/>
        <v>8</v>
      </c>
      <c r="C312" s="10" t="s">
        <v>396</v>
      </c>
      <c r="D312" s="11" t="s">
        <v>119</v>
      </c>
      <c r="E312" s="11" t="s">
        <v>29</v>
      </c>
      <c r="F312" s="15" t="str">
        <f>IF(Tabla15[[#This Row],[Columna1]]="","actividad","subactividad")</f>
        <v>subactividad</v>
      </c>
      <c r="G312" s="12"/>
      <c r="H312" s="19">
        <f t="shared" si="41"/>
        <v>46114</v>
      </c>
      <c r="I312" s="19">
        <f>IF(Tabla15[[#This Row],[Duracion ideal (dia)]]="",I311,Tabla15[[#This Row],[Inicio ideal]]+Tabla15[[#This Row],[Duracion ideal (dia)]])</f>
        <v>46114</v>
      </c>
      <c r="J312" s="12"/>
      <c r="K312" s="19">
        <f>IF(Tabla15[[#This Row],[Duracion Real (dia)]]="",K311,L311)</f>
        <v>46128</v>
      </c>
      <c r="L312" s="19">
        <f>IF(Tabla15[[#This Row],[Duracion Real (dia)]]="",L311,Tabla15[[#This Row],[Inicio Real]]+Tabla15[[#This Row],[Duracion Real (dia)]])</f>
        <v>46129</v>
      </c>
      <c r="M312" s="12"/>
      <c r="N312" s="19" t="s">
        <v>35</v>
      </c>
      <c r="O312" s="13" t="s">
        <v>35</v>
      </c>
      <c r="P312" s="13" t="s">
        <v>35</v>
      </c>
      <c r="Q312" s="13" t="s">
        <v>35</v>
      </c>
      <c r="R312" s="13" t="s">
        <v>35</v>
      </c>
      <c r="S312" s="13" t="s">
        <v>35</v>
      </c>
      <c r="T312" s="13" t="s">
        <v>35</v>
      </c>
    </row>
    <row r="313" spans="1:20" hidden="1">
      <c r="A313" s="9" t="str">
        <f t="shared" si="42"/>
        <v>2.1.24.9</v>
      </c>
      <c r="B313" s="9">
        <f t="shared" si="43"/>
        <v>9</v>
      </c>
      <c r="C313" s="20" t="s">
        <v>397</v>
      </c>
      <c r="D313" s="15" t="s">
        <v>119</v>
      </c>
      <c r="E313" s="15" t="s">
        <v>29</v>
      </c>
      <c r="F313" s="15" t="str">
        <f>IF(Tabla15[[#This Row],[Columna1]]="","actividad","subactividad")</f>
        <v>subactividad</v>
      </c>
      <c r="G313" s="16"/>
      <c r="H313" s="19">
        <f t="shared" si="41"/>
        <v>46114</v>
      </c>
      <c r="I313" s="19">
        <f>IF(Tabla15[[#This Row],[Duracion ideal (dia)]]="",I312,Tabla15[[#This Row],[Inicio ideal]]+Tabla15[[#This Row],[Duracion ideal (dia)]])</f>
        <v>46114</v>
      </c>
      <c r="J313" s="16"/>
      <c r="K313" s="19">
        <f>IF(Tabla15[[#This Row],[Duracion Real (dia)]]="",K312,L312)</f>
        <v>46128</v>
      </c>
      <c r="L313" s="19">
        <f>IF(Tabla15[[#This Row],[Duracion Real (dia)]]="",L312,Tabla15[[#This Row],[Inicio Real]]+Tabla15[[#This Row],[Duracion Real (dia)]])</f>
        <v>46129</v>
      </c>
      <c r="M313" s="16"/>
      <c r="N313" s="19" t="s">
        <v>35</v>
      </c>
      <c r="O313" s="13" t="s">
        <v>35</v>
      </c>
      <c r="P313" s="13" t="s">
        <v>35</v>
      </c>
      <c r="Q313" s="13" t="s">
        <v>35</v>
      </c>
      <c r="R313" s="13" t="s">
        <v>35</v>
      </c>
      <c r="S313" s="13" t="s">
        <v>35</v>
      </c>
      <c r="T313" s="13" t="s">
        <v>35</v>
      </c>
    </row>
    <row r="314" spans="1:20" hidden="1">
      <c r="A314" s="9" t="str">
        <f t="shared" si="42"/>
        <v>2.1.24.10</v>
      </c>
      <c r="B314" s="9">
        <f t="shared" si="43"/>
        <v>10</v>
      </c>
      <c r="C314" s="10" t="s">
        <v>398</v>
      </c>
      <c r="D314" s="11" t="s">
        <v>119</v>
      </c>
      <c r="E314" s="11" t="s">
        <v>29</v>
      </c>
      <c r="F314" s="15" t="str">
        <f>IF(Tabla15[[#This Row],[Columna1]]="","actividad","subactividad")</f>
        <v>subactividad</v>
      </c>
      <c r="G314" s="12"/>
      <c r="H314" s="19">
        <f t="shared" si="41"/>
        <v>46114</v>
      </c>
      <c r="I314" s="19">
        <f>IF(Tabla15[[#This Row],[Duracion ideal (dia)]]="",I313,Tabla15[[#This Row],[Inicio ideal]]+Tabla15[[#This Row],[Duracion ideal (dia)]])</f>
        <v>46114</v>
      </c>
      <c r="J314" s="12"/>
      <c r="K314" s="19">
        <f>IF(Tabla15[[#This Row],[Duracion Real (dia)]]="",K313,L313)</f>
        <v>46128</v>
      </c>
      <c r="L314" s="19">
        <f>IF(Tabla15[[#This Row],[Duracion Real (dia)]]="",L313,Tabla15[[#This Row],[Inicio Real]]+Tabla15[[#This Row],[Duracion Real (dia)]])</f>
        <v>46129</v>
      </c>
      <c r="M314" s="12"/>
      <c r="N314" s="19" t="s">
        <v>35</v>
      </c>
      <c r="O314" s="13" t="s">
        <v>35</v>
      </c>
      <c r="P314" s="13" t="s">
        <v>35</v>
      </c>
      <c r="Q314" s="13" t="s">
        <v>35</v>
      </c>
      <c r="R314" s="13" t="s">
        <v>35</v>
      </c>
      <c r="S314" s="13" t="s">
        <v>35</v>
      </c>
      <c r="T314" s="13" t="s">
        <v>35</v>
      </c>
    </row>
    <row r="315" spans="1:20" hidden="1">
      <c r="A315" s="9" t="str">
        <f t="shared" si="42"/>
        <v>2.1.24.11</v>
      </c>
      <c r="B315" s="9">
        <f t="shared" si="43"/>
        <v>11</v>
      </c>
      <c r="C315" s="20" t="s">
        <v>399</v>
      </c>
      <c r="D315" s="15" t="s">
        <v>119</v>
      </c>
      <c r="E315" s="15" t="s">
        <v>29</v>
      </c>
      <c r="F315" s="15" t="str">
        <f>IF(Tabla15[[#This Row],[Columna1]]="","actividad","subactividad")</f>
        <v>subactividad</v>
      </c>
      <c r="G315" s="16"/>
      <c r="H315" s="19">
        <f t="shared" si="41"/>
        <v>46114</v>
      </c>
      <c r="I315" s="19">
        <f>IF(Tabla15[[#This Row],[Duracion ideal (dia)]]="",I314,Tabla15[[#This Row],[Inicio ideal]]+Tabla15[[#This Row],[Duracion ideal (dia)]])</f>
        <v>46114</v>
      </c>
      <c r="J315" s="16"/>
      <c r="K315" s="19">
        <f>IF(Tabla15[[#This Row],[Duracion Real (dia)]]="",K314,L314)</f>
        <v>46128</v>
      </c>
      <c r="L315" s="19">
        <f>IF(Tabla15[[#This Row],[Duracion Real (dia)]]="",L314,Tabla15[[#This Row],[Inicio Real]]+Tabla15[[#This Row],[Duracion Real (dia)]])</f>
        <v>46129</v>
      </c>
      <c r="M315" s="16"/>
      <c r="N315" s="19" t="s">
        <v>35</v>
      </c>
      <c r="O315" s="13" t="s">
        <v>35</v>
      </c>
      <c r="P315" s="13" t="s">
        <v>35</v>
      </c>
      <c r="Q315" s="13" t="s">
        <v>35</v>
      </c>
      <c r="R315" s="13" t="s">
        <v>35</v>
      </c>
      <c r="S315" s="13" t="s">
        <v>35</v>
      </c>
      <c r="T315" s="13" t="s">
        <v>35</v>
      </c>
    </row>
    <row r="316" spans="1:20" hidden="1">
      <c r="A316" s="9" t="str">
        <f t="shared" si="42"/>
        <v>2.1.24.12</v>
      </c>
      <c r="B316" s="9">
        <f t="shared" si="43"/>
        <v>12</v>
      </c>
      <c r="C316" s="10" t="s">
        <v>400</v>
      </c>
      <c r="D316" s="11" t="s">
        <v>119</v>
      </c>
      <c r="E316" s="11" t="s">
        <v>29</v>
      </c>
      <c r="F316" s="15" t="str">
        <f>IF(Tabla15[[#This Row],[Columna1]]="","actividad","subactividad")</f>
        <v>subactividad</v>
      </c>
      <c r="G316" s="12"/>
      <c r="H316" s="19">
        <f t="shared" si="41"/>
        <v>46114</v>
      </c>
      <c r="I316" s="19">
        <f>IF(Tabla15[[#This Row],[Duracion ideal (dia)]]="",I315,Tabla15[[#This Row],[Inicio ideal]]+Tabla15[[#This Row],[Duracion ideal (dia)]])</f>
        <v>46114</v>
      </c>
      <c r="J316" s="12"/>
      <c r="K316" s="19">
        <f>IF(Tabla15[[#This Row],[Duracion Real (dia)]]="",K315,L315)</f>
        <v>46128</v>
      </c>
      <c r="L316" s="19">
        <f>IF(Tabla15[[#This Row],[Duracion Real (dia)]]="",L315,Tabla15[[#This Row],[Inicio Real]]+Tabla15[[#This Row],[Duracion Real (dia)]])</f>
        <v>46129</v>
      </c>
      <c r="M316" s="12"/>
      <c r="N316" s="19" t="s">
        <v>35</v>
      </c>
      <c r="O316" s="13" t="s">
        <v>35</v>
      </c>
      <c r="P316" s="13" t="s">
        <v>35</v>
      </c>
      <c r="Q316" s="13" t="s">
        <v>35</v>
      </c>
      <c r="R316" s="13" t="s">
        <v>35</v>
      </c>
      <c r="S316" s="13" t="s">
        <v>35</v>
      </c>
      <c r="T316" s="13" t="s">
        <v>35</v>
      </c>
    </row>
    <row r="317" spans="1:20">
      <c r="A317" s="9" t="s">
        <v>401</v>
      </c>
      <c r="B317" s="9"/>
      <c r="C317" s="21" t="s">
        <v>402</v>
      </c>
      <c r="D317" s="15" t="s">
        <v>119</v>
      </c>
      <c r="E317" s="15" t="s">
        <v>29</v>
      </c>
      <c r="F317" s="15" t="str">
        <f>IF(Tabla15[[#This Row],[Columna1]]="","actividad","subactividad")</f>
        <v>actividad</v>
      </c>
      <c r="G317" s="16" t="s">
        <v>32</v>
      </c>
      <c r="H317" s="19">
        <f t="shared" si="41"/>
        <v>46114</v>
      </c>
      <c r="I317" s="19">
        <f>IF(Tabla15[[#This Row],[Duracion ideal (dia)]]="",I316,Tabla15[[#This Row],[Inicio ideal]]+Tabla15[[#This Row],[Duracion ideal (dia)]])</f>
        <v>46115</v>
      </c>
      <c r="J317" s="16">
        <v>1</v>
      </c>
      <c r="K317" s="19">
        <f>IF(Tabla15[[#This Row],[Duracion Real (dia)]]="",K316,L316)</f>
        <v>46129</v>
      </c>
      <c r="L317" s="19">
        <f>IF(Tabla15[[#This Row],[Duracion Real (dia)]]="",L316,Tabla15[[#This Row],[Inicio Real]]+Tabla15[[#This Row],[Duracion Real (dia)]])</f>
        <v>46130</v>
      </c>
      <c r="M317" s="16">
        <v>1</v>
      </c>
      <c r="N317" s="19" t="s">
        <v>69</v>
      </c>
      <c r="O317" s="13">
        <v>57362.81</v>
      </c>
      <c r="P317" s="13">
        <v>1615.38</v>
      </c>
      <c r="Q317" s="13">
        <v>58978.189999999995</v>
      </c>
      <c r="R317" s="13">
        <v>58978.189999999995</v>
      </c>
      <c r="S317" s="13">
        <v>74571.653000000006</v>
      </c>
      <c r="T317" s="13">
        <v>74571.653000000006</v>
      </c>
    </row>
    <row r="318" spans="1:20" hidden="1">
      <c r="A318" s="9" t="str">
        <f>CONCATENATE($A$317,".",B318)</f>
        <v>2.1.25.1</v>
      </c>
      <c r="B318" s="9">
        <f>IF(B317=" ",1,B317+1)</f>
        <v>1</v>
      </c>
      <c r="C318" s="10" t="s">
        <v>403</v>
      </c>
      <c r="D318" s="11" t="s">
        <v>119</v>
      </c>
      <c r="E318" s="11" t="s">
        <v>29</v>
      </c>
      <c r="F318" s="15" t="str">
        <f>IF(Tabla15[[#This Row],[Columna1]]="","actividad","subactividad")</f>
        <v>subactividad</v>
      </c>
      <c r="G318" s="12"/>
      <c r="H318" s="19">
        <f t="shared" si="41"/>
        <v>46115</v>
      </c>
      <c r="I318" s="19">
        <f>IF(Tabla15[[#This Row],[Duracion ideal (dia)]]="",I317,Tabla15[[#This Row],[Inicio ideal]]+Tabla15[[#This Row],[Duracion ideal (dia)]])</f>
        <v>46115</v>
      </c>
      <c r="J318" s="12"/>
      <c r="K318" s="19">
        <f>IF(Tabla15[[#This Row],[Duracion Real (dia)]]="",K317,L317)</f>
        <v>46129</v>
      </c>
      <c r="L318" s="19">
        <f>IF(Tabla15[[#This Row],[Duracion Real (dia)]]="",L317,Tabla15[[#This Row],[Inicio Real]]+Tabla15[[#This Row],[Duracion Real (dia)]])</f>
        <v>46130</v>
      </c>
      <c r="M318" s="12"/>
      <c r="N318" s="19" t="s">
        <v>35</v>
      </c>
      <c r="O318" s="13" t="s">
        <v>35</v>
      </c>
      <c r="P318" s="13" t="s">
        <v>35</v>
      </c>
      <c r="Q318" s="13" t="s">
        <v>35</v>
      </c>
      <c r="R318" s="13" t="s">
        <v>35</v>
      </c>
      <c r="S318" s="13" t="s">
        <v>35</v>
      </c>
      <c r="T318" s="13" t="s">
        <v>35</v>
      </c>
    </row>
    <row r="319" spans="1:20" hidden="1">
      <c r="A319" s="9" t="str">
        <f>CONCATENATE($A$317,".",B319)</f>
        <v>2.1.25.2</v>
      </c>
      <c r="B319" s="9">
        <f>IF(B318=" ",1,B318+1)</f>
        <v>2</v>
      </c>
      <c r="C319" s="20" t="s">
        <v>404</v>
      </c>
      <c r="D319" s="15" t="s">
        <v>119</v>
      </c>
      <c r="E319" s="15" t="s">
        <v>29</v>
      </c>
      <c r="F319" s="15" t="str">
        <f>IF(Tabla15[[#This Row],[Columna1]]="","actividad","subactividad")</f>
        <v>subactividad</v>
      </c>
      <c r="G319" s="16"/>
      <c r="H319" s="19">
        <f t="shared" si="41"/>
        <v>46115</v>
      </c>
      <c r="I319" s="19">
        <f>IF(Tabla15[[#This Row],[Duracion ideal (dia)]]="",I318,Tabla15[[#This Row],[Inicio ideal]]+Tabla15[[#This Row],[Duracion ideal (dia)]])</f>
        <v>46115</v>
      </c>
      <c r="J319" s="16"/>
      <c r="K319" s="19">
        <f>IF(Tabla15[[#This Row],[Duracion Real (dia)]]="",K318,L318)</f>
        <v>46129</v>
      </c>
      <c r="L319" s="19">
        <f>IF(Tabla15[[#This Row],[Duracion Real (dia)]]="",L318,Tabla15[[#This Row],[Inicio Real]]+Tabla15[[#This Row],[Duracion Real (dia)]])</f>
        <v>46130</v>
      </c>
      <c r="M319" s="16"/>
      <c r="N319" s="19" t="s">
        <v>35</v>
      </c>
      <c r="O319" s="13" t="s">
        <v>35</v>
      </c>
      <c r="P319" s="13" t="s">
        <v>35</v>
      </c>
      <c r="Q319" s="13" t="s">
        <v>35</v>
      </c>
      <c r="R319" s="13" t="s">
        <v>35</v>
      </c>
      <c r="S319" s="13" t="s">
        <v>35</v>
      </c>
      <c r="T319" s="13" t="s">
        <v>35</v>
      </c>
    </row>
    <row r="320" spans="1:20" hidden="1">
      <c r="A320" s="9" t="str">
        <f>CONCATENATE($A$317,".",B320)</f>
        <v>2.1.25.3</v>
      </c>
      <c r="B320" s="9">
        <f>IF(B319=" ",1,B319+1)</f>
        <v>3</v>
      </c>
      <c r="C320" s="10" t="s">
        <v>405</v>
      </c>
      <c r="D320" s="11" t="s">
        <v>119</v>
      </c>
      <c r="E320" s="11" t="s">
        <v>29</v>
      </c>
      <c r="F320" s="15" t="str">
        <f>IF(Tabla15[[#This Row],[Columna1]]="","actividad","subactividad")</f>
        <v>subactividad</v>
      </c>
      <c r="G320" s="12"/>
      <c r="H320" s="19">
        <f t="shared" si="41"/>
        <v>46115</v>
      </c>
      <c r="I320" s="19">
        <f>IF(Tabla15[[#This Row],[Duracion ideal (dia)]]="",I319,Tabla15[[#This Row],[Inicio ideal]]+Tabla15[[#This Row],[Duracion ideal (dia)]])</f>
        <v>46115</v>
      </c>
      <c r="J320" s="12"/>
      <c r="K320" s="19">
        <f>IF(Tabla15[[#This Row],[Duracion Real (dia)]]="",K319,L319)</f>
        <v>46129</v>
      </c>
      <c r="L320" s="19">
        <f>IF(Tabla15[[#This Row],[Duracion Real (dia)]]="",L319,Tabla15[[#This Row],[Inicio Real]]+Tabla15[[#This Row],[Duracion Real (dia)]])</f>
        <v>46130</v>
      </c>
      <c r="M320" s="12"/>
      <c r="N320" s="19" t="s">
        <v>35</v>
      </c>
      <c r="O320" s="13" t="s">
        <v>35</v>
      </c>
      <c r="P320" s="13" t="s">
        <v>35</v>
      </c>
      <c r="Q320" s="13" t="s">
        <v>35</v>
      </c>
      <c r="R320" s="13" t="s">
        <v>35</v>
      </c>
      <c r="S320" s="13" t="s">
        <v>35</v>
      </c>
      <c r="T320" s="13" t="s">
        <v>35</v>
      </c>
    </row>
    <row r="321" spans="1:20" hidden="1">
      <c r="A321" s="9" t="s">
        <v>406</v>
      </c>
      <c r="B321" s="9">
        <f>IF(B320=" ",1,B320+1)</f>
        <v>4</v>
      </c>
      <c r="C321" s="17" t="s">
        <v>407</v>
      </c>
      <c r="D321" s="15" t="s">
        <v>119</v>
      </c>
      <c r="E321" s="15" t="s">
        <v>85</v>
      </c>
      <c r="F321" s="15" t="str">
        <f>IF(Tabla15[[#This Row],[Columna1]]="","actividad","subactividad")</f>
        <v>subactividad</v>
      </c>
      <c r="G321" s="16"/>
      <c r="H321" s="19">
        <f t="shared" si="41"/>
        <v>46115</v>
      </c>
      <c r="I321" s="19">
        <f>IF(Tabla15[[#This Row],[Duracion ideal (dia)]]="",I320,Tabla15[[#This Row],[Inicio ideal]]+Tabla15[[#This Row],[Duracion ideal (dia)]])</f>
        <v>46115</v>
      </c>
      <c r="J321" s="16"/>
      <c r="K321" s="19">
        <f>IF(Tabla15[[#This Row],[Duracion Real (dia)]]="",K320,L320)</f>
        <v>46129</v>
      </c>
      <c r="L321" s="19">
        <f>IF(Tabla15[[#This Row],[Duracion Real (dia)]]="",L320,Tabla15[[#This Row],[Inicio Real]]+Tabla15[[#This Row],[Duracion Real (dia)]])</f>
        <v>46130</v>
      </c>
      <c r="M321" s="16"/>
      <c r="N321" s="19" t="s">
        <v>35</v>
      </c>
      <c r="O321" s="13" t="s">
        <v>35</v>
      </c>
      <c r="P321" s="13" t="s">
        <v>35</v>
      </c>
      <c r="Q321" s="13" t="s">
        <v>35</v>
      </c>
      <c r="R321" s="13" t="s">
        <v>35</v>
      </c>
      <c r="S321" s="13" t="s">
        <v>35</v>
      </c>
      <c r="T321" s="13" t="s">
        <v>35</v>
      </c>
    </row>
    <row r="322" spans="1:20">
      <c r="A322" s="9" t="s">
        <v>408</v>
      </c>
      <c r="B322" s="9"/>
      <c r="C322" s="22" t="s">
        <v>409</v>
      </c>
      <c r="D322" s="11" t="s">
        <v>119</v>
      </c>
      <c r="E322" s="11" t="s">
        <v>85</v>
      </c>
      <c r="F322" s="15" t="str">
        <f>IF(Tabla15[[#This Row],[Columna1]]="","actividad","subactividad")</f>
        <v>actividad</v>
      </c>
      <c r="G322" s="12" t="s">
        <v>32</v>
      </c>
      <c r="H322" s="19">
        <f t="shared" si="41"/>
        <v>46115</v>
      </c>
      <c r="I322" s="19">
        <f>IF(Tabla15[[#This Row],[Duracion ideal (dia)]]="",I321,Tabla15[[#This Row],[Inicio ideal]]+Tabla15[[#This Row],[Duracion ideal (dia)]])</f>
        <v>46117</v>
      </c>
      <c r="J322" s="12">
        <v>2</v>
      </c>
      <c r="K322" s="19">
        <f>IF(Tabla15[[#This Row],[Duracion Real (dia)]]="",K321,L321)</f>
        <v>46130</v>
      </c>
      <c r="L322" s="19">
        <f>IF(Tabla15[[#This Row],[Duracion Real (dia)]]="",L321,Tabla15[[#This Row],[Inicio Real]]+Tabla15[[#This Row],[Duracion Real (dia)]])</f>
        <v>46132</v>
      </c>
      <c r="M322" s="12">
        <v>2</v>
      </c>
      <c r="N322" s="19" t="s">
        <v>33</v>
      </c>
      <c r="O322" s="13">
        <v>42549.26</v>
      </c>
      <c r="P322" s="13">
        <v>2307.6999999999998</v>
      </c>
      <c r="Q322" s="13">
        <v>44856.959999999999</v>
      </c>
      <c r="R322" s="13">
        <v>45041.560000000005</v>
      </c>
      <c r="S322" s="13">
        <v>55314.038000000008</v>
      </c>
      <c r="T322" s="13">
        <v>55314.038000000008</v>
      </c>
    </row>
    <row r="323" spans="1:20" hidden="1">
      <c r="A323" s="9" t="str">
        <f>CONCATENATE($A$322,".",B323)</f>
        <v>2.2.1.1</v>
      </c>
      <c r="B323" s="9">
        <f>IF(B322=" ",1,B322+1)</f>
        <v>1</v>
      </c>
      <c r="C323" s="20" t="s">
        <v>410</v>
      </c>
      <c r="D323" s="15" t="s">
        <v>119</v>
      </c>
      <c r="E323" s="15" t="s">
        <v>85</v>
      </c>
      <c r="F323" s="15" t="str">
        <f>IF(Tabla15[[#This Row],[Columna1]]="","actividad","subactividad")</f>
        <v>subactividad</v>
      </c>
      <c r="G323" s="16"/>
      <c r="H323" s="19">
        <f t="shared" si="41"/>
        <v>46117</v>
      </c>
      <c r="I323" s="19">
        <f>IF(Tabla15[[#This Row],[Duracion ideal (dia)]]="",I322,Tabla15[[#This Row],[Inicio ideal]]+Tabla15[[#This Row],[Duracion ideal (dia)]])</f>
        <v>46117</v>
      </c>
      <c r="J323" s="16"/>
      <c r="K323" s="19">
        <f>IF(Tabla15[[#This Row],[Duracion Real (dia)]]="",K322,L322)</f>
        <v>46130</v>
      </c>
      <c r="L323" s="19">
        <f>IF(Tabla15[[#This Row],[Duracion Real (dia)]]="",L322,Tabla15[[#This Row],[Inicio Real]]+Tabla15[[#This Row],[Duracion Real (dia)]])</f>
        <v>46132</v>
      </c>
      <c r="M323" s="16"/>
      <c r="N323" s="19" t="s">
        <v>35</v>
      </c>
      <c r="O323" s="13" t="s">
        <v>35</v>
      </c>
      <c r="P323" s="13" t="s">
        <v>35</v>
      </c>
      <c r="Q323" s="13" t="s">
        <v>35</v>
      </c>
      <c r="R323" s="13" t="s">
        <v>35</v>
      </c>
      <c r="S323" s="13" t="s">
        <v>35</v>
      </c>
      <c r="T323" s="13" t="s">
        <v>35</v>
      </c>
    </row>
    <row r="324" spans="1:20" hidden="1">
      <c r="A324" s="9" t="str">
        <f>CONCATENATE($A$322,".",B324)</f>
        <v>2.2.1.2</v>
      </c>
      <c r="B324" s="9">
        <f>IF(B323=" ",1,B323+1)</f>
        <v>2</v>
      </c>
      <c r="C324" s="10" t="s">
        <v>411</v>
      </c>
      <c r="D324" s="11" t="s">
        <v>119</v>
      </c>
      <c r="E324" s="11" t="s">
        <v>85</v>
      </c>
      <c r="F324" s="15" t="str">
        <f>IF(Tabla15[[#This Row],[Columna1]]="","actividad","subactividad")</f>
        <v>subactividad</v>
      </c>
      <c r="G324" s="12"/>
      <c r="H324" s="19">
        <f t="shared" si="41"/>
        <v>46117</v>
      </c>
      <c r="I324" s="19">
        <f>IF(Tabla15[[#This Row],[Duracion ideal (dia)]]="",I323,Tabla15[[#This Row],[Inicio ideal]]+Tabla15[[#This Row],[Duracion ideal (dia)]])</f>
        <v>46117</v>
      </c>
      <c r="J324" s="12"/>
      <c r="K324" s="19">
        <f>IF(Tabla15[[#This Row],[Duracion Real (dia)]]="",K323,L323)</f>
        <v>46130</v>
      </c>
      <c r="L324" s="19">
        <f>IF(Tabla15[[#This Row],[Duracion Real (dia)]]="",L323,Tabla15[[#This Row],[Inicio Real]]+Tabla15[[#This Row],[Duracion Real (dia)]])</f>
        <v>46132</v>
      </c>
      <c r="M324" s="12"/>
      <c r="N324" s="19" t="s">
        <v>35</v>
      </c>
      <c r="O324" s="13" t="s">
        <v>35</v>
      </c>
      <c r="P324" s="13" t="s">
        <v>35</v>
      </c>
      <c r="Q324" s="13" t="s">
        <v>35</v>
      </c>
      <c r="R324" s="13" t="s">
        <v>35</v>
      </c>
      <c r="S324" s="13" t="s">
        <v>35</v>
      </c>
      <c r="T324" s="13" t="s">
        <v>35</v>
      </c>
    </row>
    <row r="325" spans="1:20" hidden="1">
      <c r="A325" s="9" t="str">
        <f>CONCATENATE($A$322,".",B325)</f>
        <v>2.2.1.3</v>
      </c>
      <c r="B325" s="9">
        <f>IF(B324=" ",1,B324+1)</f>
        <v>3</v>
      </c>
      <c r="C325" s="20" t="s">
        <v>412</v>
      </c>
      <c r="D325" s="15" t="s">
        <v>119</v>
      </c>
      <c r="E325" s="15" t="s">
        <v>85</v>
      </c>
      <c r="F325" s="15" t="str">
        <f>IF(Tabla15[[#This Row],[Columna1]]="","actividad","subactividad")</f>
        <v>subactividad</v>
      </c>
      <c r="G325" s="16"/>
      <c r="H325" s="19">
        <f t="shared" si="41"/>
        <v>46117</v>
      </c>
      <c r="I325" s="19">
        <f>IF(Tabla15[[#This Row],[Duracion ideal (dia)]]="",I324,Tabla15[[#This Row],[Inicio ideal]]+Tabla15[[#This Row],[Duracion ideal (dia)]])</f>
        <v>46117</v>
      </c>
      <c r="J325" s="16"/>
      <c r="K325" s="19">
        <f>IF(Tabla15[[#This Row],[Duracion Real (dia)]]="",K324,L324)</f>
        <v>46130</v>
      </c>
      <c r="L325" s="19">
        <f>IF(Tabla15[[#This Row],[Duracion Real (dia)]]="",L324,Tabla15[[#This Row],[Inicio Real]]+Tabla15[[#This Row],[Duracion Real (dia)]])</f>
        <v>46132</v>
      </c>
      <c r="M325" s="16"/>
      <c r="N325" s="19" t="s">
        <v>35</v>
      </c>
      <c r="O325" s="13" t="s">
        <v>35</v>
      </c>
      <c r="P325" s="13" t="s">
        <v>35</v>
      </c>
      <c r="Q325" s="13" t="s">
        <v>35</v>
      </c>
      <c r="R325" s="13" t="s">
        <v>35</v>
      </c>
      <c r="S325" s="13" t="s">
        <v>35</v>
      </c>
      <c r="T325" s="13" t="s">
        <v>35</v>
      </c>
    </row>
    <row r="326" spans="1:20">
      <c r="A326" s="9" t="s">
        <v>413</v>
      </c>
      <c r="B326" s="9"/>
      <c r="C326" s="17" t="s">
        <v>414</v>
      </c>
      <c r="D326" s="11" t="s">
        <v>119</v>
      </c>
      <c r="E326" s="11" t="s">
        <v>111</v>
      </c>
      <c r="F326" s="15" t="str">
        <f>IF(Tabla15[[#This Row],[Columna1]]="","actividad","subactividad")</f>
        <v>actividad</v>
      </c>
      <c r="G326" s="12" t="s">
        <v>22</v>
      </c>
      <c r="H326" s="19">
        <f t="shared" si="41"/>
        <v>46117</v>
      </c>
      <c r="I326" s="19">
        <f>IF(Tabla15[[#This Row],[Duracion ideal (dia)]]="",I325,Tabla15[[#This Row],[Inicio ideal]]+Tabla15[[#This Row],[Duracion ideal (dia)]])</f>
        <v>46117</v>
      </c>
      <c r="J326" s="12"/>
      <c r="K326" s="19">
        <f>IF(Tabla15[[#This Row],[Duracion Real (dia)]]="",K325,L325)</f>
        <v>46130</v>
      </c>
      <c r="L326" s="19">
        <f>IF(Tabla15[[#This Row],[Duracion Real (dia)]]="",L325,Tabla15[[#This Row],[Inicio Real]]+Tabla15[[#This Row],[Duracion Real (dia)]])</f>
        <v>46132</v>
      </c>
      <c r="M326" s="12"/>
      <c r="N326" s="19" t="s">
        <v>35</v>
      </c>
      <c r="O326" s="13" t="s">
        <v>35</v>
      </c>
      <c r="P326" s="13" t="s">
        <v>35</v>
      </c>
      <c r="Q326" s="13" t="s">
        <v>35</v>
      </c>
      <c r="R326" s="13" t="s">
        <v>35</v>
      </c>
      <c r="S326" s="13" t="s">
        <v>35</v>
      </c>
      <c r="T326" s="13" t="s">
        <v>35</v>
      </c>
    </row>
    <row r="327" spans="1:20">
      <c r="A327" s="9" t="s">
        <v>415</v>
      </c>
      <c r="B327" s="9"/>
      <c r="C327" s="21" t="s">
        <v>416</v>
      </c>
      <c r="D327" s="15" t="s">
        <v>119</v>
      </c>
      <c r="E327" s="15" t="s">
        <v>111</v>
      </c>
      <c r="F327" s="15" t="str">
        <f>IF(Tabla15[[#This Row],[Columna1]]="","actividad","subactividad")</f>
        <v>actividad</v>
      </c>
      <c r="G327" s="16" t="s">
        <v>32</v>
      </c>
      <c r="H327" s="24">
        <f t="shared" si="41"/>
        <v>46117</v>
      </c>
      <c r="I327" s="24">
        <f>IF(Tabla15[[#This Row],[Duracion ideal (dia)]]="",I326,Tabla15[[#This Row],[Inicio ideal]]+Tabla15[[#This Row],[Duracion ideal (dia)]])</f>
        <v>46119</v>
      </c>
      <c r="J327" s="16">
        <v>2</v>
      </c>
      <c r="K327" s="24">
        <f>IF(Tabla15[[#This Row],[Duracion Real (dia)]]="",K326,L326)</f>
        <v>46132</v>
      </c>
      <c r="L327" s="24">
        <f>IF(Tabla15[[#This Row],[Duracion Real (dia)]]="",L326,Tabla15[[#This Row],[Inicio Real]]+Tabla15[[#This Row],[Duracion Real (dia)]])</f>
        <v>46134</v>
      </c>
      <c r="M327" s="16">
        <v>2</v>
      </c>
      <c r="N327" s="19" t="s">
        <v>33</v>
      </c>
      <c r="O327" s="13">
        <v>42549.26</v>
      </c>
      <c r="P327" s="13">
        <v>3230.76</v>
      </c>
      <c r="Q327" s="13">
        <v>45780.020000000004</v>
      </c>
      <c r="R327" s="13">
        <v>45041.560000000005</v>
      </c>
      <c r="S327" s="13">
        <v>55314.038000000008</v>
      </c>
      <c r="T327" s="13">
        <v>55314.038000000008</v>
      </c>
    </row>
    <row r="328" spans="1:20" hidden="1">
      <c r="A328" s="9" t="str">
        <f>CONCATENATE($A$327,".",B328)</f>
        <v>2.3.1.1</v>
      </c>
      <c r="B328" s="9">
        <f>IF(B327=" ",1,B327+1)</f>
        <v>1</v>
      </c>
      <c r="C328" s="10" t="s">
        <v>417</v>
      </c>
      <c r="D328" s="11" t="s">
        <v>119</v>
      </c>
      <c r="E328" s="11" t="s">
        <v>111</v>
      </c>
      <c r="F328" s="15" t="str">
        <f>IF(Tabla15[[#This Row],[Columna1]]="","actividad","subactividad")</f>
        <v>subactividad</v>
      </c>
      <c r="G328" s="12"/>
      <c r="H328" s="19">
        <f t="shared" si="41"/>
        <v>46119</v>
      </c>
      <c r="I328" s="19">
        <f>IF(Tabla15[[#This Row],[Duracion ideal (dia)]]="",I327,Tabla15[[#This Row],[Inicio ideal]]+Tabla15[[#This Row],[Duracion ideal (dia)]])</f>
        <v>46119</v>
      </c>
      <c r="J328" s="12"/>
      <c r="K328" s="19">
        <f>IF(Tabla15[[#This Row],[Duracion Real (dia)]]="",K327,L327)</f>
        <v>46132</v>
      </c>
      <c r="L328" s="19">
        <f>IF(Tabla15[[#This Row],[Duracion Real (dia)]]="",L327,Tabla15[[#This Row],[Inicio Real]]+Tabla15[[#This Row],[Duracion Real (dia)]])</f>
        <v>46134</v>
      </c>
      <c r="M328" s="12"/>
      <c r="N328" s="19" t="s">
        <v>35</v>
      </c>
      <c r="O328" s="13" t="s">
        <v>35</v>
      </c>
      <c r="P328" s="13" t="s">
        <v>35</v>
      </c>
      <c r="Q328" s="13" t="s">
        <v>35</v>
      </c>
      <c r="R328" s="13" t="s">
        <v>35</v>
      </c>
      <c r="S328" s="13" t="s">
        <v>35</v>
      </c>
      <c r="T328" s="13" t="s">
        <v>35</v>
      </c>
    </row>
    <row r="329" spans="1:20" hidden="1">
      <c r="A329" s="9" t="str">
        <f>CONCATENATE($A$327,".",B329)</f>
        <v>2.3.1.2</v>
      </c>
      <c r="B329" s="9">
        <f>IF(B328=" ",1,B328+1)</f>
        <v>2</v>
      </c>
      <c r="C329" s="20" t="s">
        <v>418</v>
      </c>
      <c r="D329" s="15" t="s">
        <v>119</v>
      </c>
      <c r="E329" s="15" t="s">
        <v>111</v>
      </c>
      <c r="F329" s="15" t="str">
        <f>IF(Tabla15[[#This Row],[Columna1]]="","actividad","subactividad")</f>
        <v>subactividad</v>
      </c>
      <c r="G329" s="16"/>
      <c r="H329" s="19">
        <f t="shared" si="41"/>
        <v>46119</v>
      </c>
      <c r="I329" s="19">
        <f>IF(Tabla15[[#This Row],[Duracion ideal (dia)]]="",I328,Tabla15[[#This Row],[Inicio ideal]]+Tabla15[[#This Row],[Duracion ideal (dia)]])</f>
        <v>46119</v>
      </c>
      <c r="J329" s="16"/>
      <c r="K329" s="19">
        <f>IF(Tabla15[[#This Row],[Duracion Real (dia)]]="",K328,L328)</f>
        <v>46132</v>
      </c>
      <c r="L329" s="19">
        <f>IF(Tabla15[[#This Row],[Duracion Real (dia)]]="",L328,Tabla15[[#This Row],[Inicio Real]]+Tabla15[[#This Row],[Duracion Real (dia)]])</f>
        <v>46134</v>
      </c>
      <c r="M329" s="16"/>
      <c r="N329" s="19" t="s">
        <v>35</v>
      </c>
      <c r="O329" s="13" t="s">
        <v>35</v>
      </c>
      <c r="P329" s="13" t="s">
        <v>35</v>
      </c>
      <c r="Q329" s="13" t="s">
        <v>35</v>
      </c>
      <c r="R329" s="13" t="s">
        <v>35</v>
      </c>
      <c r="S329" s="13" t="s">
        <v>35</v>
      </c>
      <c r="T329" s="13" t="s">
        <v>35</v>
      </c>
    </row>
    <row r="330" spans="1:20" hidden="1">
      <c r="A330" s="9" t="str">
        <f>CONCATENATE($A$327,".",B330)</f>
        <v>2.3.1.3</v>
      </c>
      <c r="B330" s="9">
        <f>IF(B329=" ",1,B329+1)</f>
        <v>3</v>
      </c>
      <c r="C330" s="10" t="s">
        <v>419</v>
      </c>
      <c r="D330" s="11" t="s">
        <v>119</v>
      </c>
      <c r="E330" s="11" t="s">
        <v>111</v>
      </c>
      <c r="F330" s="15" t="str">
        <f>IF(Tabla15[[#This Row],[Columna1]]="","actividad","subactividad")</f>
        <v>subactividad</v>
      </c>
      <c r="G330" s="12"/>
      <c r="H330" s="19">
        <f t="shared" si="41"/>
        <v>46119</v>
      </c>
      <c r="I330" s="19">
        <f>IF(Tabla15[[#This Row],[Duracion ideal (dia)]]="",I329,Tabla15[[#This Row],[Inicio ideal]]+Tabla15[[#This Row],[Duracion ideal (dia)]])</f>
        <v>46119</v>
      </c>
      <c r="J330" s="12"/>
      <c r="K330" s="19">
        <f>IF(Tabla15[[#This Row],[Duracion Real (dia)]]="",K329,L329)</f>
        <v>46132</v>
      </c>
      <c r="L330" s="19">
        <f>IF(Tabla15[[#This Row],[Duracion Real (dia)]]="",L329,Tabla15[[#This Row],[Inicio Real]]+Tabla15[[#This Row],[Duracion Real (dia)]])</f>
        <v>46134</v>
      </c>
      <c r="M330" s="12"/>
      <c r="N330" s="19" t="s">
        <v>35</v>
      </c>
      <c r="O330" s="13" t="s">
        <v>35</v>
      </c>
      <c r="P330" s="13" t="s">
        <v>35</v>
      </c>
      <c r="Q330" s="13" t="s">
        <v>35</v>
      </c>
      <c r="R330" s="13" t="s">
        <v>35</v>
      </c>
      <c r="S330" s="13" t="s">
        <v>35</v>
      </c>
      <c r="T330" s="13" t="s">
        <v>35</v>
      </c>
    </row>
    <row r="331" spans="1:20" hidden="1">
      <c r="A331" s="9" t="str">
        <f>CONCATENATE($A$327,".",B331)</f>
        <v>2.3.1.4</v>
      </c>
      <c r="B331" s="9">
        <f>IF(B330=" ",1,B330+1)</f>
        <v>4</v>
      </c>
      <c r="C331" s="20" t="s">
        <v>420</v>
      </c>
      <c r="D331" s="15" t="s">
        <v>119</v>
      </c>
      <c r="E331" s="15" t="s">
        <v>111</v>
      </c>
      <c r="F331" s="15" t="str">
        <f>IF(Tabla15[[#This Row],[Columna1]]="","actividad","subactividad")</f>
        <v>subactividad</v>
      </c>
      <c r="G331" s="16"/>
      <c r="H331" s="19">
        <f t="shared" si="41"/>
        <v>46119</v>
      </c>
      <c r="I331" s="19">
        <f>IF(Tabla15[[#This Row],[Duracion ideal (dia)]]="",I330,Tabla15[[#This Row],[Inicio ideal]]+Tabla15[[#This Row],[Duracion ideal (dia)]])</f>
        <v>46119</v>
      </c>
      <c r="J331" s="16"/>
      <c r="K331" s="19">
        <f>IF(Tabla15[[#This Row],[Duracion Real (dia)]]="",K330,L330)</f>
        <v>46132</v>
      </c>
      <c r="L331" s="19">
        <f>IF(Tabla15[[#This Row],[Duracion Real (dia)]]="",L330,Tabla15[[#This Row],[Inicio Real]]+Tabla15[[#This Row],[Duracion Real (dia)]])</f>
        <v>46134</v>
      </c>
      <c r="M331" s="16"/>
      <c r="N331" s="19" t="s">
        <v>35</v>
      </c>
      <c r="O331" s="13" t="s">
        <v>35</v>
      </c>
      <c r="P331" s="13" t="s">
        <v>35</v>
      </c>
      <c r="Q331" s="13" t="s">
        <v>35</v>
      </c>
      <c r="R331" s="13" t="s">
        <v>35</v>
      </c>
      <c r="S331" s="13" t="s">
        <v>35</v>
      </c>
      <c r="T331" s="13" t="s">
        <v>35</v>
      </c>
    </row>
    <row r="332" spans="1:20" hidden="1">
      <c r="A332" s="9" t="str">
        <f>CONCATENATE($A$327,".",B332)</f>
        <v>2.3.1.5</v>
      </c>
      <c r="B332" s="9">
        <f>IF(B331=" ",1,B331+1)</f>
        <v>5</v>
      </c>
      <c r="C332" s="10" t="s">
        <v>421</v>
      </c>
      <c r="D332" s="11" t="s">
        <v>119</v>
      </c>
      <c r="E332" s="11" t="s">
        <v>111</v>
      </c>
      <c r="F332" s="15" t="str">
        <f>IF(Tabla15[[#This Row],[Columna1]]="","actividad","subactividad")</f>
        <v>subactividad</v>
      </c>
      <c r="G332" s="12"/>
      <c r="H332" s="19">
        <f t="shared" si="41"/>
        <v>46119</v>
      </c>
      <c r="I332" s="19">
        <f>IF(Tabla15[[#This Row],[Duracion ideal (dia)]]="",I331,Tabla15[[#This Row],[Inicio ideal]]+Tabla15[[#This Row],[Duracion ideal (dia)]])</f>
        <v>46119</v>
      </c>
      <c r="J332" s="12"/>
      <c r="K332" s="19">
        <f>IF(Tabla15[[#This Row],[Duracion Real (dia)]]="",K331,L331)</f>
        <v>46132</v>
      </c>
      <c r="L332" s="19">
        <f>IF(Tabla15[[#This Row],[Duracion Real (dia)]]="",L331,Tabla15[[#This Row],[Inicio Real]]+Tabla15[[#This Row],[Duracion Real (dia)]])</f>
        <v>46134</v>
      </c>
      <c r="M332" s="12"/>
      <c r="N332" s="19" t="s">
        <v>35</v>
      </c>
      <c r="O332" s="13" t="s">
        <v>35</v>
      </c>
      <c r="P332" s="13" t="s">
        <v>35</v>
      </c>
      <c r="Q332" s="13" t="s">
        <v>35</v>
      </c>
      <c r="R332" s="13" t="s">
        <v>35</v>
      </c>
      <c r="S332" s="13" t="s">
        <v>35</v>
      </c>
      <c r="T332" s="13" t="s">
        <v>35</v>
      </c>
    </row>
    <row r="333" spans="1:20">
      <c r="A333" s="9">
        <v>3</v>
      </c>
      <c r="B333" s="9"/>
      <c r="C333" s="14" t="s">
        <v>422</v>
      </c>
      <c r="D333" s="15" t="s">
        <v>422</v>
      </c>
      <c r="E333" s="15">
        <v>0</v>
      </c>
      <c r="F333" s="15" t="str">
        <f>IF(Tabla15[[#This Row],[Columna1]]="","actividad","subactividad")</f>
        <v>actividad</v>
      </c>
      <c r="G333" s="16" t="s">
        <v>22</v>
      </c>
      <c r="H333" s="19">
        <f t="shared" si="41"/>
        <v>46119</v>
      </c>
      <c r="I333" s="19">
        <f>IF(Tabla15[[#This Row],[Duracion ideal (dia)]]="",I332,Tabla15[[#This Row],[Inicio ideal]]+Tabla15[[#This Row],[Duracion ideal (dia)]])</f>
        <v>46119</v>
      </c>
      <c r="J333" s="16"/>
      <c r="K333" s="19">
        <f>IF(Tabla15[[#This Row],[Duracion Real (dia)]]="",K332,L332)</f>
        <v>46132</v>
      </c>
      <c r="L333" s="19">
        <f>IF(Tabla15[[#This Row],[Duracion Real (dia)]]="",L332,Tabla15[[#This Row],[Inicio Real]]+Tabla15[[#This Row],[Duracion Real (dia)]])</f>
        <v>46134</v>
      </c>
      <c r="M333" s="16"/>
      <c r="N333" s="19" t="s">
        <v>35</v>
      </c>
      <c r="O333" s="13" t="s">
        <v>35</v>
      </c>
      <c r="P333" s="13" t="s">
        <v>35</v>
      </c>
      <c r="Q333" s="13" t="s">
        <v>35</v>
      </c>
      <c r="R333" s="13" t="s">
        <v>35</v>
      </c>
      <c r="S333" s="13" t="s">
        <v>35</v>
      </c>
      <c r="T333" s="13" t="s">
        <v>35</v>
      </c>
    </row>
    <row r="334" spans="1:20">
      <c r="A334" s="9" t="s">
        <v>423</v>
      </c>
      <c r="B334" s="9"/>
      <c r="C334" s="17" t="s">
        <v>424</v>
      </c>
      <c r="D334" s="11" t="s">
        <v>422</v>
      </c>
      <c r="E334" s="11" t="s">
        <v>29</v>
      </c>
      <c r="F334" s="15" t="str">
        <f>IF(Tabla15[[#This Row],[Columna1]]="","actividad","subactividad")</f>
        <v>actividad</v>
      </c>
      <c r="G334" s="12" t="s">
        <v>22</v>
      </c>
      <c r="H334" s="19">
        <f t="shared" si="41"/>
        <v>46119</v>
      </c>
      <c r="I334" s="19">
        <f>IF(Tabla15[[#This Row],[Duracion ideal (dia)]]="",I333,Tabla15[[#This Row],[Inicio ideal]]+Tabla15[[#This Row],[Duracion ideal (dia)]])</f>
        <v>46119</v>
      </c>
      <c r="J334" s="12"/>
      <c r="K334" s="19">
        <f>IF(Tabla15[[#This Row],[Duracion Real (dia)]]="",K333,L333)</f>
        <v>46132</v>
      </c>
      <c r="L334" s="19">
        <f>IF(Tabla15[[#This Row],[Duracion Real (dia)]]="",L333,Tabla15[[#This Row],[Inicio Real]]+Tabla15[[#This Row],[Duracion Real (dia)]])</f>
        <v>46134</v>
      </c>
      <c r="M334" s="12"/>
      <c r="N334" s="19" t="s">
        <v>35</v>
      </c>
      <c r="O334" s="13" t="s">
        <v>35</v>
      </c>
      <c r="P334" s="13" t="s">
        <v>35</v>
      </c>
      <c r="Q334" s="13" t="s">
        <v>35</v>
      </c>
      <c r="R334" s="13" t="s">
        <v>35</v>
      </c>
      <c r="S334" s="13" t="s">
        <v>35</v>
      </c>
      <c r="T334" s="13" t="s">
        <v>35</v>
      </c>
    </row>
    <row r="335" spans="1:20">
      <c r="A335" s="9" t="s">
        <v>425</v>
      </c>
      <c r="B335" s="9"/>
      <c r="C335" s="21" t="s">
        <v>426</v>
      </c>
      <c r="D335" s="15" t="s">
        <v>422</v>
      </c>
      <c r="E335" s="15" t="s">
        <v>29</v>
      </c>
      <c r="F335" s="15" t="str">
        <f>IF(Tabla15[[#This Row],[Columna1]]="","actividad","subactividad")</f>
        <v>actividad</v>
      </c>
      <c r="G335" s="16" t="s">
        <v>32</v>
      </c>
      <c r="H335" s="19">
        <f t="shared" si="41"/>
        <v>46119</v>
      </c>
      <c r="I335" s="19">
        <f>IF(Tabla15[[#This Row],[Duracion ideal (dia)]]="",I334,Tabla15[[#This Row],[Inicio ideal]]+Tabla15[[#This Row],[Duracion ideal (dia)]])</f>
        <v>46120</v>
      </c>
      <c r="J335" s="16">
        <v>1</v>
      </c>
      <c r="K335" s="19">
        <f>IF(Tabla15[[#This Row],[Duracion Real (dia)]]="",K334,L334)</f>
        <v>46134</v>
      </c>
      <c r="L335" s="19">
        <f>IF(Tabla15[[#This Row],[Duracion Real (dia)]]="",L334,Tabla15[[#This Row],[Inicio Real]]+Tabla15[[#This Row],[Duracion Real (dia)]])</f>
        <v>46135</v>
      </c>
      <c r="M335" s="16">
        <v>1</v>
      </c>
      <c r="N335" s="19" t="s">
        <v>160</v>
      </c>
      <c r="O335" s="13">
        <v>1488024.21</v>
      </c>
      <c r="P335" s="13">
        <v>1384.62</v>
      </c>
      <c r="Q335" s="13">
        <v>1489408.83</v>
      </c>
      <c r="R335" s="13">
        <v>1489408.83</v>
      </c>
      <c r="S335" s="13">
        <v>1934431.473</v>
      </c>
      <c r="T335" s="13">
        <v>1934431.473</v>
      </c>
    </row>
    <row r="336" spans="1:20" hidden="1">
      <c r="A336" s="9" t="str">
        <f>CONCATENATE($A$335,".",B336)</f>
        <v>3.1.1.1</v>
      </c>
      <c r="B336" s="9">
        <f>IF(B335=" ",1,B335+1)</f>
        <v>1</v>
      </c>
      <c r="C336" s="10" t="s">
        <v>427</v>
      </c>
      <c r="D336" s="11" t="s">
        <v>422</v>
      </c>
      <c r="E336" s="11" t="s">
        <v>29</v>
      </c>
      <c r="F336" s="15" t="str">
        <f>IF(Tabla15[[#This Row],[Columna1]]="","actividad","subactividad")</f>
        <v>subactividad</v>
      </c>
      <c r="G336" s="12"/>
      <c r="H336" s="19">
        <f t="shared" si="41"/>
        <v>46120</v>
      </c>
      <c r="I336" s="19">
        <f>IF(Tabla15[[#This Row],[Duracion ideal (dia)]]="",I335,Tabla15[[#This Row],[Inicio ideal]]+Tabla15[[#This Row],[Duracion ideal (dia)]])</f>
        <v>46120</v>
      </c>
      <c r="J336" s="12"/>
      <c r="K336" s="19">
        <f>IF(Tabla15[[#This Row],[Duracion Real (dia)]]="",K335,L335)</f>
        <v>46134</v>
      </c>
      <c r="L336" s="19">
        <f>IF(Tabla15[[#This Row],[Duracion Real (dia)]]="",L335,Tabla15[[#This Row],[Inicio Real]]+Tabla15[[#This Row],[Duracion Real (dia)]])</f>
        <v>46135</v>
      </c>
      <c r="M336" s="12"/>
      <c r="N336" s="19" t="s">
        <v>35</v>
      </c>
      <c r="O336" s="13" t="s">
        <v>35</v>
      </c>
      <c r="P336" s="13" t="s">
        <v>35</v>
      </c>
      <c r="Q336" s="13" t="s">
        <v>35</v>
      </c>
      <c r="R336" s="13" t="s">
        <v>35</v>
      </c>
      <c r="S336" s="13" t="s">
        <v>35</v>
      </c>
      <c r="T336" s="13" t="s">
        <v>35</v>
      </c>
    </row>
    <row r="337" spans="1:20" hidden="1">
      <c r="A337" s="9" t="str">
        <f>CONCATENATE($A$335,".",B337)</f>
        <v>3.1.1.2</v>
      </c>
      <c r="B337" s="9">
        <f>IF(B336=" ",1,B336+1)</f>
        <v>2</v>
      </c>
      <c r="C337" s="20" t="s">
        <v>428</v>
      </c>
      <c r="D337" s="15" t="s">
        <v>422</v>
      </c>
      <c r="E337" s="15" t="s">
        <v>29</v>
      </c>
      <c r="F337" s="15" t="str">
        <f>IF(Tabla15[[#This Row],[Columna1]]="","actividad","subactividad")</f>
        <v>subactividad</v>
      </c>
      <c r="G337" s="16"/>
      <c r="H337" s="19">
        <f t="shared" si="41"/>
        <v>46120</v>
      </c>
      <c r="I337" s="19">
        <f>IF(Tabla15[[#This Row],[Duracion ideal (dia)]]="",I336,Tabla15[[#This Row],[Inicio ideal]]+Tabla15[[#This Row],[Duracion ideal (dia)]])</f>
        <v>46120</v>
      </c>
      <c r="J337" s="16"/>
      <c r="K337" s="19">
        <f>IF(Tabla15[[#This Row],[Duracion Real (dia)]]="",K336,L336)</f>
        <v>46134</v>
      </c>
      <c r="L337" s="19">
        <f>IF(Tabla15[[#This Row],[Duracion Real (dia)]]="",L336,Tabla15[[#This Row],[Inicio Real]]+Tabla15[[#This Row],[Duracion Real (dia)]])</f>
        <v>46135</v>
      </c>
      <c r="M337" s="16"/>
      <c r="N337" s="19" t="s">
        <v>35</v>
      </c>
      <c r="O337" s="13" t="s">
        <v>35</v>
      </c>
      <c r="P337" s="13" t="s">
        <v>35</v>
      </c>
      <c r="Q337" s="13" t="s">
        <v>35</v>
      </c>
      <c r="R337" s="13" t="s">
        <v>35</v>
      </c>
      <c r="S337" s="13" t="s">
        <v>35</v>
      </c>
      <c r="T337" s="13" t="s">
        <v>35</v>
      </c>
    </row>
    <row r="338" spans="1:20" hidden="1">
      <c r="A338" s="9" t="str">
        <f>CONCATENATE($A$335,".",B338)</f>
        <v>3.1.1.3</v>
      </c>
      <c r="B338" s="9">
        <f>IF(B337=" ",1,B337+1)</f>
        <v>3</v>
      </c>
      <c r="C338" s="10" t="s">
        <v>429</v>
      </c>
      <c r="D338" s="11" t="s">
        <v>422</v>
      </c>
      <c r="E338" s="11" t="s">
        <v>29</v>
      </c>
      <c r="F338" s="15" t="str">
        <f>IF(Tabla15[[#This Row],[Columna1]]="","actividad","subactividad")</f>
        <v>subactividad</v>
      </c>
      <c r="G338" s="12"/>
      <c r="H338" s="19">
        <f t="shared" si="41"/>
        <v>46120</v>
      </c>
      <c r="I338" s="19">
        <f>IF(Tabla15[[#This Row],[Duracion ideal (dia)]]="",I337,Tabla15[[#This Row],[Inicio ideal]]+Tabla15[[#This Row],[Duracion ideal (dia)]])</f>
        <v>46120</v>
      </c>
      <c r="J338" s="12"/>
      <c r="K338" s="19">
        <f>IF(Tabla15[[#This Row],[Duracion Real (dia)]]="",K337,L337)</f>
        <v>46134</v>
      </c>
      <c r="L338" s="19">
        <f>IF(Tabla15[[#This Row],[Duracion Real (dia)]]="",L337,Tabla15[[#This Row],[Inicio Real]]+Tabla15[[#This Row],[Duracion Real (dia)]])</f>
        <v>46135</v>
      </c>
      <c r="M338" s="12"/>
      <c r="N338" s="19" t="s">
        <v>35</v>
      </c>
      <c r="O338" s="13" t="s">
        <v>35</v>
      </c>
      <c r="P338" s="13" t="s">
        <v>35</v>
      </c>
      <c r="Q338" s="13" t="s">
        <v>35</v>
      </c>
      <c r="R338" s="13" t="s">
        <v>35</v>
      </c>
      <c r="S338" s="13" t="s">
        <v>35</v>
      </c>
      <c r="T338" s="13" t="s">
        <v>35</v>
      </c>
    </row>
    <row r="339" spans="1:20" hidden="1">
      <c r="A339" s="9" t="str">
        <f>CONCATENATE($A$335,".",B339)</f>
        <v>3.1.1.4</v>
      </c>
      <c r="B339" s="9">
        <f>IF(B338=" ",1,B338+1)</f>
        <v>4</v>
      </c>
      <c r="C339" s="20" t="s">
        <v>430</v>
      </c>
      <c r="D339" s="15" t="s">
        <v>422</v>
      </c>
      <c r="E339" s="15" t="s">
        <v>29</v>
      </c>
      <c r="F339" s="15" t="str">
        <f>IF(Tabla15[[#This Row],[Columna1]]="","actividad","subactividad")</f>
        <v>subactividad</v>
      </c>
      <c r="G339" s="16"/>
      <c r="H339" s="19">
        <f t="shared" si="41"/>
        <v>46120</v>
      </c>
      <c r="I339" s="19">
        <f>IF(Tabla15[[#This Row],[Duracion ideal (dia)]]="",I338,Tabla15[[#This Row],[Inicio ideal]]+Tabla15[[#This Row],[Duracion ideal (dia)]])</f>
        <v>46120</v>
      </c>
      <c r="J339" s="16"/>
      <c r="K339" s="19">
        <f>IF(Tabla15[[#This Row],[Duracion Real (dia)]]="",K338,L338)</f>
        <v>46134</v>
      </c>
      <c r="L339" s="19">
        <f>IF(Tabla15[[#This Row],[Duracion Real (dia)]]="",L338,Tabla15[[#This Row],[Inicio Real]]+Tabla15[[#This Row],[Duracion Real (dia)]])</f>
        <v>46135</v>
      </c>
      <c r="M339" s="16"/>
      <c r="N339" s="19" t="s">
        <v>35</v>
      </c>
      <c r="O339" s="13" t="s">
        <v>35</v>
      </c>
      <c r="P339" s="13" t="s">
        <v>35</v>
      </c>
      <c r="Q339" s="13" t="s">
        <v>35</v>
      </c>
      <c r="R339" s="13" t="s">
        <v>35</v>
      </c>
      <c r="S339" s="13" t="s">
        <v>35</v>
      </c>
      <c r="T339" s="13" t="s">
        <v>35</v>
      </c>
    </row>
    <row r="340" spans="1:20" hidden="1">
      <c r="A340" s="9" t="str">
        <f>CONCATENATE($A$335,".",B340)</f>
        <v>3.1.1.5</v>
      </c>
      <c r="B340" s="9">
        <f>IF(B339=" ",1,B339+1)</f>
        <v>5</v>
      </c>
      <c r="C340" s="10" t="s">
        <v>431</v>
      </c>
      <c r="D340" s="11" t="s">
        <v>422</v>
      </c>
      <c r="E340" s="11" t="s">
        <v>29</v>
      </c>
      <c r="F340" s="15" t="str">
        <f>IF(Tabla15[[#This Row],[Columna1]]="","actividad","subactividad")</f>
        <v>subactividad</v>
      </c>
      <c r="G340" s="12"/>
      <c r="H340" s="19">
        <f t="shared" si="41"/>
        <v>46120</v>
      </c>
      <c r="I340" s="19">
        <f>IF(Tabla15[[#This Row],[Duracion ideal (dia)]]="",I339,Tabla15[[#This Row],[Inicio ideal]]+Tabla15[[#This Row],[Duracion ideal (dia)]])</f>
        <v>46120</v>
      </c>
      <c r="J340" s="12"/>
      <c r="K340" s="19">
        <f>IF(Tabla15[[#This Row],[Duracion Real (dia)]]="",K339,L339)</f>
        <v>46134</v>
      </c>
      <c r="L340" s="19">
        <f>IF(Tabla15[[#This Row],[Duracion Real (dia)]]="",L339,Tabla15[[#This Row],[Inicio Real]]+Tabla15[[#This Row],[Duracion Real (dia)]])</f>
        <v>46135</v>
      </c>
      <c r="M340" s="12"/>
      <c r="N340" s="19" t="s">
        <v>35</v>
      </c>
      <c r="O340" s="13" t="s">
        <v>35</v>
      </c>
      <c r="P340" s="13" t="s">
        <v>35</v>
      </c>
      <c r="Q340" s="13" t="s">
        <v>35</v>
      </c>
      <c r="R340" s="13" t="s">
        <v>35</v>
      </c>
      <c r="S340" s="13" t="s">
        <v>35</v>
      </c>
      <c r="T340" s="13" t="s">
        <v>35</v>
      </c>
    </row>
    <row r="341" spans="1:20">
      <c r="A341" s="9" t="s">
        <v>432</v>
      </c>
      <c r="B341" s="9"/>
      <c r="C341" s="21" t="s">
        <v>433</v>
      </c>
      <c r="D341" s="15" t="s">
        <v>422</v>
      </c>
      <c r="E341" s="15" t="s">
        <v>29</v>
      </c>
      <c r="F341" s="15" t="str">
        <f>IF(Tabla15[[#This Row],[Columna1]]="","actividad","subactividad")</f>
        <v>actividad</v>
      </c>
      <c r="G341" s="16" t="s">
        <v>32</v>
      </c>
      <c r="H341" s="19">
        <f t="shared" si="41"/>
        <v>46120</v>
      </c>
      <c r="I341" s="19">
        <f>IF(Tabla15[[#This Row],[Duracion ideal (dia)]]="",I340,Tabla15[[#This Row],[Inicio ideal]]+Tabla15[[#This Row],[Duracion ideal (dia)]])</f>
        <v>46121</v>
      </c>
      <c r="J341" s="16">
        <v>1</v>
      </c>
      <c r="K341" s="19">
        <f>IF(Tabla15[[#This Row],[Duracion Real (dia)]]="",K340,L340)</f>
        <v>46135</v>
      </c>
      <c r="L341" s="19">
        <f>IF(Tabla15[[#This Row],[Duracion Real (dia)]]="",L340,Tabla15[[#This Row],[Inicio Real]]+Tabla15[[#This Row],[Duracion Real (dia)]])</f>
        <v>46136</v>
      </c>
      <c r="M341" s="16">
        <v>1</v>
      </c>
      <c r="N341" s="19" t="s">
        <v>88</v>
      </c>
      <c r="O341" s="13">
        <v>1488024.21</v>
      </c>
      <c r="P341" s="13">
        <v>1845.15</v>
      </c>
      <c r="Q341" s="13">
        <v>1489869.3599999999</v>
      </c>
      <c r="R341" s="13">
        <v>1489178.06</v>
      </c>
      <c r="S341" s="13">
        <v>1934431.473</v>
      </c>
      <c r="T341" s="13">
        <v>1934431.473</v>
      </c>
    </row>
    <row r="342" spans="1:20" hidden="1">
      <c r="A342" s="9" t="str">
        <f>CONCATENATE($A$341,".",B342)</f>
        <v>3.1.2.1</v>
      </c>
      <c r="B342" s="9">
        <f>IF(B341=" ",1,B341+1)</f>
        <v>1</v>
      </c>
      <c r="C342" s="10" t="s">
        <v>434</v>
      </c>
      <c r="D342" s="11" t="s">
        <v>422</v>
      </c>
      <c r="E342" s="11" t="s">
        <v>29</v>
      </c>
      <c r="F342" s="15" t="str">
        <f>IF(Tabla15[[#This Row],[Columna1]]="","actividad","subactividad")</f>
        <v>subactividad</v>
      </c>
      <c r="G342" s="12"/>
      <c r="H342" s="19">
        <f t="shared" si="41"/>
        <v>46121</v>
      </c>
      <c r="I342" s="19">
        <f>IF(Tabla15[[#This Row],[Duracion ideal (dia)]]="",I341,Tabla15[[#This Row],[Inicio ideal]]+Tabla15[[#This Row],[Duracion ideal (dia)]])</f>
        <v>46121</v>
      </c>
      <c r="J342" s="12"/>
      <c r="K342" s="19">
        <f>IF(Tabla15[[#This Row],[Duracion Real (dia)]]="",K341,L341)</f>
        <v>46135</v>
      </c>
      <c r="L342" s="19">
        <f>IF(Tabla15[[#This Row],[Duracion Real (dia)]]="",L341,Tabla15[[#This Row],[Inicio Real]]+Tabla15[[#This Row],[Duracion Real (dia)]])</f>
        <v>46136</v>
      </c>
      <c r="M342" s="12"/>
      <c r="N342" s="19" t="s">
        <v>35</v>
      </c>
      <c r="O342" s="13" t="s">
        <v>35</v>
      </c>
      <c r="P342" s="13" t="s">
        <v>35</v>
      </c>
      <c r="Q342" s="13" t="s">
        <v>35</v>
      </c>
      <c r="R342" s="13" t="s">
        <v>35</v>
      </c>
      <c r="S342" s="13" t="s">
        <v>35</v>
      </c>
      <c r="T342" s="13" t="s">
        <v>35</v>
      </c>
    </row>
    <row r="343" spans="1:20" hidden="1">
      <c r="A343" s="9" t="str">
        <f>CONCATENATE($A$341,".",B343)</f>
        <v>3.1.2.2</v>
      </c>
      <c r="B343" s="9">
        <f>IF(B342=" ",1,B342+1)</f>
        <v>2</v>
      </c>
      <c r="C343" s="20" t="s">
        <v>435</v>
      </c>
      <c r="D343" s="15" t="s">
        <v>422</v>
      </c>
      <c r="E343" s="15" t="s">
        <v>29</v>
      </c>
      <c r="F343" s="15" t="str">
        <f>IF(Tabla15[[#This Row],[Columna1]]="","actividad","subactividad")</f>
        <v>subactividad</v>
      </c>
      <c r="G343" s="16"/>
      <c r="H343" s="19">
        <f t="shared" si="41"/>
        <v>46121</v>
      </c>
      <c r="I343" s="19">
        <f>IF(Tabla15[[#This Row],[Duracion ideal (dia)]]="",I342,Tabla15[[#This Row],[Inicio ideal]]+Tabla15[[#This Row],[Duracion ideal (dia)]])</f>
        <v>46121</v>
      </c>
      <c r="J343" s="16"/>
      <c r="K343" s="19">
        <f>IF(Tabla15[[#This Row],[Duracion Real (dia)]]="",K342,L342)</f>
        <v>46135</v>
      </c>
      <c r="L343" s="19">
        <f>IF(Tabla15[[#This Row],[Duracion Real (dia)]]="",L342,Tabla15[[#This Row],[Inicio Real]]+Tabla15[[#This Row],[Duracion Real (dia)]])</f>
        <v>46136</v>
      </c>
      <c r="M343" s="16"/>
      <c r="N343" s="19" t="s">
        <v>35</v>
      </c>
      <c r="O343" s="13" t="s">
        <v>35</v>
      </c>
      <c r="P343" s="13" t="s">
        <v>35</v>
      </c>
      <c r="Q343" s="13" t="s">
        <v>35</v>
      </c>
      <c r="R343" s="13" t="s">
        <v>35</v>
      </c>
      <c r="S343" s="13" t="s">
        <v>35</v>
      </c>
      <c r="T343" s="13" t="s">
        <v>35</v>
      </c>
    </row>
    <row r="344" spans="1:20" hidden="1">
      <c r="A344" s="9" t="str">
        <f>CONCATENATE($A$341,".",B344)</f>
        <v>3.1.2.3</v>
      </c>
      <c r="B344" s="9">
        <f>IF(B343=" ",1,B343+1)</f>
        <v>3</v>
      </c>
      <c r="C344" s="10" t="s">
        <v>436</v>
      </c>
      <c r="D344" s="11" t="s">
        <v>422</v>
      </c>
      <c r="E344" s="11" t="s">
        <v>29</v>
      </c>
      <c r="F344" s="15" t="str">
        <f>IF(Tabla15[[#This Row],[Columna1]]="","actividad","subactividad")</f>
        <v>subactividad</v>
      </c>
      <c r="G344" s="12"/>
      <c r="H344" s="19">
        <f t="shared" si="41"/>
        <v>46121</v>
      </c>
      <c r="I344" s="19">
        <f>IF(Tabla15[[#This Row],[Duracion ideal (dia)]]="",I343,Tabla15[[#This Row],[Inicio ideal]]+Tabla15[[#This Row],[Duracion ideal (dia)]])</f>
        <v>46121</v>
      </c>
      <c r="J344" s="12"/>
      <c r="K344" s="19">
        <f>IF(Tabla15[[#This Row],[Duracion Real (dia)]]="",K343,L343)</f>
        <v>46135</v>
      </c>
      <c r="L344" s="19">
        <f>IF(Tabla15[[#This Row],[Duracion Real (dia)]]="",L343,Tabla15[[#This Row],[Inicio Real]]+Tabla15[[#This Row],[Duracion Real (dia)]])</f>
        <v>46136</v>
      </c>
      <c r="M344" s="12"/>
      <c r="N344" s="19" t="s">
        <v>35</v>
      </c>
      <c r="O344" s="13" t="s">
        <v>35</v>
      </c>
      <c r="P344" s="13" t="s">
        <v>35</v>
      </c>
      <c r="Q344" s="13" t="s">
        <v>35</v>
      </c>
      <c r="R344" s="13" t="s">
        <v>35</v>
      </c>
      <c r="S344" s="13" t="s">
        <v>35</v>
      </c>
      <c r="T344" s="13" t="s">
        <v>35</v>
      </c>
    </row>
    <row r="345" spans="1:20" hidden="1">
      <c r="A345" s="9" t="str">
        <f>CONCATENATE($A$341,".",B345)</f>
        <v>3.1.2.4</v>
      </c>
      <c r="B345" s="9">
        <f>IF(B344=" ",1,B344+1)</f>
        <v>4</v>
      </c>
      <c r="C345" s="20" t="s">
        <v>437</v>
      </c>
      <c r="D345" s="15" t="s">
        <v>422</v>
      </c>
      <c r="E345" s="15" t="s">
        <v>29</v>
      </c>
      <c r="F345" s="15" t="str">
        <f>IF(Tabla15[[#This Row],[Columna1]]="","actividad","subactividad")</f>
        <v>subactividad</v>
      </c>
      <c r="G345" s="16"/>
      <c r="H345" s="19">
        <f t="shared" si="41"/>
        <v>46121</v>
      </c>
      <c r="I345" s="19">
        <f>IF(Tabla15[[#This Row],[Duracion ideal (dia)]]="",I344,Tabla15[[#This Row],[Inicio ideal]]+Tabla15[[#This Row],[Duracion ideal (dia)]])</f>
        <v>46121</v>
      </c>
      <c r="J345" s="16"/>
      <c r="K345" s="19">
        <f>IF(Tabla15[[#This Row],[Duracion Real (dia)]]="",K344,L344)</f>
        <v>46135</v>
      </c>
      <c r="L345" s="19">
        <f>IF(Tabla15[[#This Row],[Duracion Real (dia)]]="",L344,Tabla15[[#This Row],[Inicio Real]]+Tabla15[[#This Row],[Duracion Real (dia)]])</f>
        <v>46136</v>
      </c>
      <c r="M345" s="16"/>
      <c r="N345" s="19" t="s">
        <v>35</v>
      </c>
      <c r="O345" s="13" t="s">
        <v>35</v>
      </c>
      <c r="P345" s="13" t="s">
        <v>35</v>
      </c>
      <c r="Q345" s="13" t="s">
        <v>35</v>
      </c>
      <c r="R345" s="13" t="s">
        <v>35</v>
      </c>
      <c r="S345" s="13" t="s">
        <v>35</v>
      </c>
      <c r="T345" s="13" t="s">
        <v>35</v>
      </c>
    </row>
    <row r="346" spans="1:20" hidden="1">
      <c r="A346" s="9" t="str">
        <f>CONCATENATE($A$341,".",B346)</f>
        <v>3.1.2.5</v>
      </c>
      <c r="B346" s="9">
        <f>IF(B345=" ",1,B345+1)</f>
        <v>5</v>
      </c>
      <c r="C346" s="10" t="s">
        <v>438</v>
      </c>
      <c r="D346" s="11" t="s">
        <v>422</v>
      </c>
      <c r="E346" s="11" t="s">
        <v>29</v>
      </c>
      <c r="F346" s="15" t="str">
        <f>IF(Tabla15[[#This Row],[Columna1]]="","actividad","subactividad")</f>
        <v>subactividad</v>
      </c>
      <c r="G346" s="12"/>
      <c r="H346" s="19">
        <f t="shared" si="41"/>
        <v>46121</v>
      </c>
      <c r="I346" s="19">
        <f>IF(Tabla15[[#This Row],[Duracion ideal (dia)]]="",I345,Tabla15[[#This Row],[Inicio ideal]]+Tabla15[[#This Row],[Duracion ideal (dia)]])</f>
        <v>46121</v>
      </c>
      <c r="J346" s="12"/>
      <c r="K346" s="19">
        <f>IF(Tabla15[[#This Row],[Duracion Real (dia)]]="",K345,L345)</f>
        <v>46135</v>
      </c>
      <c r="L346" s="19">
        <f>IF(Tabla15[[#This Row],[Duracion Real (dia)]]="",L345,Tabla15[[#This Row],[Inicio Real]]+Tabla15[[#This Row],[Duracion Real (dia)]])</f>
        <v>46136</v>
      </c>
      <c r="M346" s="12"/>
      <c r="N346" s="19" t="s">
        <v>35</v>
      </c>
      <c r="O346" s="13" t="s">
        <v>35</v>
      </c>
      <c r="P346" s="13" t="s">
        <v>35</v>
      </c>
      <c r="Q346" s="13" t="s">
        <v>35</v>
      </c>
      <c r="R346" s="13" t="s">
        <v>35</v>
      </c>
      <c r="S346" s="13" t="s">
        <v>35</v>
      </c>
      <c r="T346" s="13" t="s">
        <v>35</v>
      </c>
    </row>
    <row r="347" spans="1:20">
      <c r="A347" s="9" t="s">
        <v>439</v>
      </c>
      <c r="B347" s="9"/>
      <c r="C347" s="25" t="s">
        <v>440</v>
      </c>
      <c r="D347" s="15" t="s">
        <v>422</v>
      </c>
      <c r="E347" s="15" t="s">
        <v>29</v>
      </c>
      <c r="F347" s="15" t="str">
        <f>IF(Tabla15[[#This Row],[Columna1]]="","actividad","subactividad")</f>
        <v>actividad</v>
      </c>
      <c r="G347" s="16" t="s">
        <v>197</v>
      </c>
      <c r="H347" s="19">
        <f t="shared" si="41"/>
        <v>46121</v>
      </c>
      <c r="I347" s="19">
        <f>IF(Tabla15[[#This Row],[Duracion ideal (dia)]]="",I346,Tabla15[[#This Row],[Inicio ideal]]+Tabla15[[#This Row],[Duracion ideal (dia)]])</f>
        <v>46121</v>
      </c>
      <c r="J347" s="16"/>
      <c r="K347" s="19">
        <f>IF(Tabla15[[#This Row],[Duracion Real (dia)]]="",K346,L346)</f>
        <v>46135</v>
      </c>
      <c r="L347" s="19">
        <f>IF(Tabla15[[#This Row],[Duracion Real (dia)]]="",L346,Tabla15[[#This Row],[Inicio Real]]+Tabla15[[#This Row],[Duracion Real (dia)]])</f>
        <v>46136</v>
      </c>
      <c r="M347" s="16"/>
      <c r="N347" s="19" t="s">
        <v>35</v>
      </c>
      <c r="O347" s="13" t="s">
        <v>35</v>
      </c>
      <c r="P347" s="13" t="s">
        <v>35</v>
      </c>
      <c r="Q347" s="13" t="s">
        <v>35</v>
      </c>
      <c r="R347" s="13" t="s">
        <v>35</v>
      </c>
      <c r="S347" s="13" t="s">
        <v>35</v>
      </c>
      <c r="T347" s="13" t="s">
        <v>35</v>
      </c>
    </row>
    <row r="348" spans="1:20">
      <c r="A348" s="9" t="s">
        <v>441</v>
      </c>
      <c r="B348" s="9"/>
      <c r="C348" s="22" t="s">
        <v>442</v>
      </c>
      <c r="D348" s="11" t="s">
        <v>422</v>
      </c>
      <c r="E348" s="11" t="s">
        <v>29</v>
      </c>
      <c r="F348" s="15" t="str">
        <f>IF(Tabla15[[#This Row],[Columna1]]="","actividad","subactividad")</f>
        <v>actividad</v>
      </c>
      <c r="G348" s="12" t="s">
        <v>209</v>
      </c>
      <c r="H348" s="19">
        <f t="shared" si="41"/>
        <v>46121</v>
      </c>
      <c r="I348" s="19">
        <f>IF(Tabla15[[#This Row],[Duracion ideal (dia)]]="",I347,Tabla15[[#This Row],[Inicio ideal]]+Tabla15[[#This Row],[Duracion ideal (dia)]])</f>
        <v>46122</v>
      </c>
      <c r="J348" s="12">
        <v>1</v>
      </c>
      <c r="K348" s="19">
        <f>IF(Tabla15[[#This Row],[Duracion Real (dia)]]="",K347,L347)</f>
        <v>46136</v>
      </c>
      <c r="L348" s="19">
        <f>IF(Tabla15[[#This Row],[Duracion Real (dia)]]="",L347,Tabla15[[#This Row],[Inicio Real]]+Tabla15[[#This Row],[Duracion Real (dia)]])</f>
        <v>46137</v>
      </c>
      <c r="M348" s="12">
        <v>1</v>
      </c>
      <c r="N348" s="19" t="s">
        <v>60</v>
      </c>
      <c r="O348" s="13">
        <v>1240170.18</v>
      </c>
      <c r="P348" s="13">
        <v>1153.8499999999999</v>
      </c>
      <c r="Q348" s="13">
        <v>1241324.03</v>
      </c>
      <c r="R348" s="13">
        <v>1242015.3299999998</v>
      </c>
      <c r="S348" s="13">
        <v>1612221.2339999999</v>
      </c>
      <c r="T348" s="13">
        <v>1612221.2339999999</v>
      </c>
    </row>
    <row r="349" spans="1:20" hidden="1">
      <c r="A349" s="9" t="str">
        <f t="shared" ref="A349:A354" si="44">CONCATENATE($A$348,".",B349)</f>
        <v>3.1.3.1.1</v>
      </c>
      <c r="B349" s="9">
        <f t="shared" ref="B349:B354" si="45">IF(B348=" ",1,B348+1)</f>
        <v>1</v>
      </c>
      <c r="C349" s="20" t="s">
        <v>443</v>
      </c>
      <c r="D349" s="15" t="s">
        <v>422</v>
      </c>
      <c r="E349" s="15" t="s">
        <v>29</v>
      </c>
      <c r="F349" s="15" t="str">
        <f>IF(Tabla15[[#This Row],[Columna1]]="","actividad","subactividad")</f>
        <v>subactividad</v>
      </c>
      <c r="G349" s="16"/>
      <c r="H349" s="19">
        <f t="shared" si="41"/>
        <v>46122</v>
      </c>
      <c r="I349" s="19">
        <f>IF(Tabla15[[#This Row],[Duracion ideal (dia)]]="",I348,Tabla15[[#This Row],[Inicio ideal]]+Tabla15[[#This Row],[Duracion ideal (dia)]])</f>
        <v>46122</v>
      </c>
      <c r="J349" s="16"/>
      <c r="K349" s="19">
        <f>IF(Tabla15[[#This Row],[Duracion Real (dia)]]="",K348,L348)</f>
        <v>46136</v>
      </c>
      <c r="L349" s="19">
        <f>IF(Tabla15[[#This Row],[Duracion Real (dia)]]="",L348,Tabla15[[#This Row],[Inicio Real]]+Tabla15[[#This Row],[Duracion Real (dia)]])</f>
        <v>46137</v>
      </c>
      <c r="M349" s="16"/>
      <c r="N349" s="19" t="s">
        <v>35</v>
      </c>
      <c r="O349" s="13" t="s">
        <v>35</v>
      </c>
      <c r="P349" s="13" t="s">
        <v>35</v>
      </c>
      <c r="Q349" s="13" t="s">
        <v>35</v>
      </c>
      <c r="R349" s="13" t="s">
        <v>35</v>
      </c>
      <c r="S349" s="13" t="s">
        <v>35</v>
      </c>
      <c r="T349" s="13" t="s">
        <v>35</v>
      </c>
    </row>
    <row r="350" spans="1:20" hidden="1">
      <c r="A350" s="9" t="str">
        <f t="shared" si="44"/>
        <v>3.1.3.1.2</v>
      </c>
      <c r="B350" s="9">
        <f t="shared" si="45"/>
        <v>2</v>
      </c>
      <c r="C350" s="10" t="s">
        <v>444</v>
      </c>
      <c r="D350" s="11" t="s">
        <v>422</v>
      </c>
      <c r="E350" s="11" t="s">
        <v>29</v>
      </c>
      <c r="F350" s="15" t="str">
        <f>IF(Tabla15[[#This Row],[Columna1]]="","actividad","subactividad")</f>
        <v>subactividad</v>
      </c>
      <c r="G350" s="12"/>
      <c r="H350" s="19">
        <f t="shared" si="41"/>
        <v>46122</v>
      </c>
      <c r="I350" s="19">
        <f>IF(Tabla15[[#This Row],[Duracion ideal (dia)]]="",I349,Tabla15[[#This Row],[Inicio ideal]]+Tabla15[[#This Row],[Duracion ideal (dia)]])</f>
        <v>46122</v>
      </c>
      <c r="J350" s="12"/>
      <c r="K350" s="19">
        <f>IF(Tabla15[[#This Row],[Duracion Real (dia)]]="",K349,L349)</f>
        <v>46136</v>
      </c>
      <c r="L350" s="19">
        <f>IF(Tabla15[[#This Row],[Duracion Real (dia)]]="",L349,Tabla15[[#This Row],[Inicio Real]]+Tabla15[[#This Row],[Duracion Real (dia)]])</f>
        <v>46137</v>
      </c>
      <c r="M350" s="12"/>
      <c r="N350" s="19" t="s">
        <v>35</v>
      </c>
      <c r="O350" s="13" t="s">
        <v>35</v>
      </c>
      <c r="P350" s="13" t="s">
        <v>35</v>
      </c>
      <c r="Q350" s="13" t="s">
        <v>35</v>
      </c>
      <c r="R350" s="13" t="s">
        <v>35</v>
      </c>
      <c r="S350" s="13" t="s">
        <v>35</v>
      </c>
      <c r="T350" s="13" t="s">
        <v>35</v>
      </c>
    </row>
    <row r="351" spans="1:20" hidden="1">
      <c r="A351" s="9" t="str">
        <f t="shared" si="44"/>
        <v>3.1.3.1.3</v>
      </c>
      <c r="B351" s="9">
        <f t="shared" si="45"/>
        <v>3</v>
      </c>
      <c r="C351" s="20" t="s">
        <v>445</v>
      </c>
      <c r="D351" s="15" t="s">
        <v>422</v>
      </c>
      <c r="E351" s="15" t="s">
        <v>29</v>
      </c>
      <c r="F351" s="15" t="str">
        <f>IF(Tabla15[[#This Row],[Columna1]]="","actividad","subactividad")</f>
        <v>subactividad</v>
      </c>
      <c r="G351" s="16"/>
      <c r="H351" s="19">
        <f t="shared" si="41"/>
        <v>46122</v>
      </c>
      <c r="I351" s="19">
        <f>IF(Tabla15[[#This Row],[Duracion ideal (dia)]]="",I350,Tabla15[[#This Row],[Inicio ideal]]+Tabla15[[#This Row],[Duracion ideal (dia)]])</f>
        <v>46122</v>
      </c>
      <c r="J351" s="16"/>
      <c r="K351" s="19">
        <f>IF(Tabla15[[#This Row],[Duracion Real (dia)]]="",K350,L350)</f>
        <v>46136</v>
      </c>
      <c r="L351" s="19">
        <f>IF(Tabla15[[#This Row],[Duracion Real (dia)]]="",L350,Tabla15[[#This Row],[Inicio Real]]+Tabla15[[#This Row],[Duracion Real (dia)]])</f>
        <v>46137</v>
      </c>
      <c r="M351" s="16"/>
      <c r="N351" s="19" t="s">
        <v>35</v>
      </c>
      <c r="O351" s="13" t="s">
        <v>35</v>
      </c>
      <c r="P351" s="13" t="s">
        <v>35</v>
      </c>
      <c r="Q351" s="13" t="s">
        <v>35</v>
      </c>
      <c r="R351" s="13" t="s">
        <v>35</v>
      </c>
      <c r="S351" s="13" t="s">
        <v>35</v>
      </c>
      <c r="T351" s="13" t="s">
        <v>35</v>
      </c>
    </row>
    <row r="352" spans="1:20" hidden="1">
      <c r="A352" s="9" t="str">
        <f t="shared" si="44"/>
        <v>3.1.3.1.4</v>
      </c>
      <c r="B352" s="9">
        <f t="shared" si="45"/>
        <v>4</v>
      </c>
      <c r="C352" s="10" t="s">
        <v>446</v>
      </c>
      <c r="D352" s="11" t="s">
        <v>422</v>
      </c>
      <c r="E352" s="11" t="s">
        <v>29</v>
      </c>
      <c r="F352" s="15" t="str">
        <f>IF(Tabla15[[#This Row],[Columna1]]="","actividad","subactividad")</f>
        <v>subactividad</v>
      </c>
      <c r="G352" s="12"/>
      <c r="H352" s="19">
        <f t="shared" si="41"/>
        <v>46122</v>
      </c>
      <c r="I352" s="19">
        <f>IF(Tabla15[[#This Row],[Duracion ideal (dia)]]="",I351,Tabla15[[#This Row],[Inicio ideal]]+Tabla15[[#This Row],[Duracion ideal (dia)]])</f>
        <v>46122</v>
      </c>
      <c r="J352" s="12"/>
      <c r="K352" s="19">
        <f>IF(Tabla15[[#This Row],[Duracion Real (dia)]]="",K351,L351)</f>
        <v>46136</v>
      </c>
      <c r="L352" s="19">
        <f>IF(Tabla15[[#This Row],[Duracion Real (dia)]]="",L351,Tabla15[[#This Row],[Inicio Real]]+Tabla15[[#This Row],[Duracion Real (dia)]])</f>
        <v>46137</v>
      </c>
      <c r="M352" s="12"/>
      <c r="N352" s="19" t="s">
        <v>35</v>
      </c>
      <c r="O352" s="13" t="s">
        <v>35</v>
      </c>
      <c r="P352" s="13" t="s">
        <v>35</v>
      </c>
      <c r="Q352" s="13" t="s">
        <v>35</v>
      </c>
      <c r="R352" s="13" t="s">
        <v>35</v>
      </c>
      <c r="S352" s="13" t="s">
        <v>35</v>
      </c>
      <c r="T352" s="13" t="s">
        <v>35</v>
      </c>
    </row>
    <row r="353" spans="1:20" hidden="1">
      <c r="A353" s="9" t="str">
        <f t="shared" si="44"/>
        <v>3.1.3.1.5</v>
      </c>
      <c r="B353" s="9">
        <f t="shared" si="45"/>
        <v>5</v>
      </c>
      <c r="C353" s="20" t="s">
        <v>447</v>
      </c>
      <c r="D353" s="15" t="s">
        <v>422</v>
      </c>
      <c r="E353" s="15" t="s">
        <v>29</v>
      </c>
      <c r="F353" s="15" t="str">
        <f>IF(Tabla15[[#This Row],[Columna1]]="","actividad","subactividad")</f>
        <v>subactividad</v>
      </c>
      <c r="G353" s="16"/>
      <c r="H353" s="19">
        <f t="shared" si="41"/>
        <v>46122</v>
      </c>
      <c r="I353" s="19">
        <f>IF(Tabla15[[#This Row],[Duracion ideal (dia)]]="",I352,Tabla15[[#This Row],[Inicio ideal]]+Tabla15[[#This Row],[Duracion ideal (dia)]])</f>
        <v>46122</v>
      </c>
      <c r="J353" s="16"/>
      <c r="K353" s="19">
        <f>IF(Tabla15[[#This Row],[Duracion Real (dia)]]="",K352,L352)</f>
        <v>46136</v>
      </c>
      <c r="L353" s="19">
        <f>IF(Tabla15[[#This Row],[Duracion Real (dia)]]="",L352,Tabla15[[#This Row],[Inicio Real]]+Tabla15[[#This Row],[Duracion Real (dia)]])</f>
        <v>46137</v>
      </c>
      <c r="M353" s="16"/>
      <c r="N353" s="19" t="s">
        <v>35</v>
      </c>
      <c r="O353" s="13" t="s">
        <v>35</v>
      </c>
      <c r="P353" s="13" t="s">
        <v>35</v>
      </c>
      <c r="Q353" s="13" t="s">
        <v>35</v>
      </c>
      <c r="R353" s="13" t="s">
        <v>35</v>
      </c>
      <c r="S353" s="13" t="s">
        <v>35</v>
      </c>
      <c r="T353" s="13" t="s">
        <v>35</v>
      </c>
    </row>
    <row r="354" spans="1:20" hidden="1">
      <c r="A354" s="9" t="str">
        <f t="shared" si="44"/>
        <v>3.1.3.1.6</v>
      </c>
      <c r="B354" s="9">
        <f t="shared" si="45"/>
        <v>6</v>
      </c>
      <c r="C354" s="10" t="s">
        <v>448</v>
      </c>
      <c r="D354" s="11" t="s">
        <v>422</v>
      </c>
      <c r="E354" s="11" t="s">
        <v>29</v>
      </c>
      <c r="F354" s="15" t="str">
        <f>IF(Tabla15[[#This Row],[Columna1]]="","actividad","subactividad")</f>
        <v>subactividad</v>
      </c>
      <c r="G354" s="12"/>
      <c r="H354" s="19">
        <f t="shared" si="41"/>
        <v>46122</v>
      </c>
      <c r="I354" s="19">
        <f>IF(Tabla15[[#This Row],[Duracion ideal (dia)]]="",I353,Tabla15[[#This Row],[Inicio ideal]]+Tabla15[[#This Row],[Duracion ideal (dia)]])</f>
        <v>46122</v>
      </c>
      <c r="J354" s="12"/>
      <c r="K354" s="19">
        <f>IF(Tabla15[[#This Row],[Duracion Real (dia)]]="",K353,L353)</f>
        <v>46136</v>
      </c>
      <c r="L354" s="19">
        <f>IF(Tabla15[[#This Row],[Duracion Real (dia)]]="",L353,Tabla15[[#This Row],[Inicio Real]]+Tabla15[[#This Row],[Duracion Real (dia)]])</f>
        <v>46137</v>
      </c>
      <c r="M354" s="12"/>
      <c r="N354" s="19" t="s">
        <v>35</v>
      </c>
      <c r="O354" s="13" t="s">
        <v>35</v>
      </c>
      <c r="P354" s="13" t="s">
        <v>35</v>
      </c>
      <c r="Q354" s="13" t="s">
        <v>35</v>
      </c>
      <c r="R354" s="13" t="s">
        <v>35</v>
      </c>
      <c r="S354" s="13" t="s">
        <v>35</v>
      </c>
      <c r="T354" s="13" t="s">
        <v>35</v>
      </c>
    </row>
    <row r="355" spans="1:20">
      <c r="A355" s="9" t="s">
        <v>449</v>
      </c>
      <c r="B355" s="9"/>
      <c r="C355" s="21" t="s">
        <v>450</v>
      </c>
      <c r="D355" s="15" t="s">
        <v>422</v>
      </c>
      <c r="E355" s="15" t="s">
        <v>29</v>
      </c>
      <c r="F355" s="15" t="str">
        <f>IF(Tabla15[[#This Row],[Columna1]]="","actividad","subactividad")</f>
        <v>actividad</v>
      </c>
      <c r="G355" s="16" t="s">
        <v>209</v>
      </c>
      <c r="H355" s="19">
        <f t="shared" si="41"/>
        <v>46122</v>
      </c>
      <c r="I355" s="19">
        <f>IF(Tabla15[[#This Row],[Duracion ideal (dia)]]="",I354,Tabla15[[#This Row],[Inicio ideal]]+Tabla15[[#This Row],[Duracion ideal (dia)]])</f>
        <v>46129</v>
      </c>
      <c r="J355" s="16">
        <v>7</v>
      </c>
      <c r="K355" s="19">
        <f>IF(Tabla15[[#This Row],[Duracion Real (dia)]]="",K354,L354)</f>
        <v>46137</v>
      </c>
      <c r="L355" s="19">
        <f>IF(Tabla15[[#This Row],[Duracion Real (dia)]]="",L354,Tabla15[[#This Row],[Inicio Real]]+Tabla15[[#This Row],[Duracion Real (dia)]])</f>
        <v>46144</v>
      </c>
      <c r="M355" s="16">
        <v>7</v>
      </c>
      <c r="N355" s="19" t="s">
        <v>33</v>
      </c>
      <c r="O355" s="13">
        <v>4463472.6399999997</v>
      </c>
      <c r="P355" s="13">
        <v>8076.9499999999989</v>
      </c>
      <c r="Q355" s="13">
        <v>4471549.59</v>
      </c>
      <c r="R355" s="13">
        <v>4472195.6899999995</v>
      </c>
      <c r="S355" s="13">
        <v>5802514.432</v>
      </c>
      <c r="T355" s="13">
        <v>5802514.432</v>
      </c>
    </row>
    <row r="356" spans="1:20" hidden="1">
      <c r="A356" s="9" t="str">
        <f>CONCATENATE($A$355,".",B356)</f>
        <v>3.1.3.2.1</v>
      </c>
      <c r="B356" s="9">
        <f>IF(B355=" ",1,B355+1)</f>
        <v>1</v>
      </c>
      <c r="C356" s="10" t="s">
        <v>451</v>
      </c>
      <c r="D356" s="11" t="s">
        <v>422</v>
      </c>
      <c r="E356" s="11" t="s">
        <v>29</v>
      </c>
      <c r="F356" s="15" t="str">
        <f>IF(Tabla15[[#This Row],[Columna1]]="","actividad","subactividad")</f>
        <v>subactividad</v>
      </c>
      <c r="G356" s="12"/>
      <c r="H356" s="19">
        <f t="shared" si="41"/>
        <v>46129</v>
      </c>
      <c r="I356" s="19">
        <f>IF(Tabla15[[#This Row],[Duracion ideal (dia)]]="",I355,Tabla15[[#This Row],[Inicio ideal]]+Tabla15[[#This Row],[Duracion ideal (dia)]])</f>
        <v>46129</v>
      </c>
      <c r="J356" s="12"/>
      <c r="K356" s="19">
        <f>IF(Tabla15[[#This Row],[Duracion Real (dia)]]="",K355,L355)</f>
        <v>46137</v>
      </c>
      <c r="L356" s="19">
        <f>IF(Tabla15[[#This Row],[Duracion Real (dia)]]="",L355,Tabla15[[#This Row],[Inicio Real]]+Tabla15[[#This Row],[Duracion Real (dia)]])</f>
        <v>46144</v>
      </c>
      <c r="M356" s="12"/>
      <c r="N356" s="19" t="s">
        <v>35</v>
      </c>
      <c r="O356" s="13" t="s">
        <v>35</v>
      </c>
      <c r="P356" s="13" t="s">
        <v>35</v>
      </c>
      <c r="Q356" s="13" t="s">
        <v>35</v>
      </c>
      <c r="R356" s="13" t="s">
        <v>35</v>
      </c>
      <c r="S356" s="13" t="s">
        <v>35</v>
      </c>
      <c r="T356" s="13" t="s">
        <v>35</v>
      </c>
    </row>
    <row r="357" spans="1:20" hidden="1">
      <c r="A357" s="9" t="str">
        <f>CONCATENATE($A$355,".",B357)</f>
        <v>3.1.3.2.2</v>
      </c>
      <c r="B357" s="9">
        <f>IF(B356=" ",1,B356+1)</f>
        <v>2</v>
      </c>
      <c r="C357" s="20" t="s">
        <v>452</v>
      </c>
      <c r="D357" s="15" t="s">
        <v>422</v>
      </c>
      <c r="E357" s="15" t="s">
        <v>29</v>
      </c>
      <c r="F357" s="15" t="str">
        <f>IF(Tabla15[[#This Row],[Columna1]]="","actividad","subactividad")</f>
        <v>subactividad</v>
      </c>
      <c r="G357" s="16"/>
      <c r="H357" s="19">
        <f t="shared" si="41"/>
        <v>46129</v>
      </c>
      <c r="I357" s="19">
        <f>IF(Tabla15[[#This Row],[Duracion ideal (dia)]]="",I356,Tabla15[[#This Row],[Inicio ideal]]+Tabla15[[#This Row],[Duracion ideal (dia)]])</f>
        <v>46129</v>
      </c>
      <c r="J357" s="16"/>
      <c r="K357" s="19">
        <f>IF(Tabla15[[#This Row],[Duracion Real (dia)]]="",K356,L356)</f>
        <v>46137</v>
      </c>
      <c r="L357" s="19">
        <f>IF(Tabla15[[#This Row],[Duracion Real (dia)]]="",L356,Tabla15[[#This Row],[Inicio Real]]+Tabla15[[#This Row],[Duracion Real (dia)]])</f>
        <v>46144</v>
      </c>
      <c r="M357" s="16"/>
      <c r="N357" s="19" t="s">
        <v>35</v>
      </c>
      <c r="O357" s="13" t="s">
        <v>35</v>
      </c>
      <c r="P357" s="13" t="s">
        <v>35</v>
      </c>
      <c r="Q357" s="13" t="s">
        <v>35</v>
      </c>
      <c r="R357" s="13" t="s">
        <v>35</v>
      </c>
      <c r="S357" s="13" t="s">
        <v>35</v>
      </c>
      <c r="T357" s="13" t="s">
        <v>35</v>
      </c>
    </row>
    <row r="358" spans="1:20" hidden="1">
      <c r="A358" s="9" t="str">
        <f>CONCATENATE($A$355,".",B358)</f>
        <v>3.1.3.2.3</v>
      </c>
      <c r="B358" s="9">
        <f>IF(B357=" ",1,B357+1)</f>
        <v>3</v>
      </c>
      <c r="C358" s="10" t="s">
        <v>453</v>
      </c>
      <c r="D358" s="11" t="s">
        <v>422</v>
      </c>
      <c r="E358" s="11" t="s">
        <v>29</v>
      </c>
      <c r="F358" s="15" t="str">
        <f>IF(Tabla15[[#This Row],[Columna1]]="","actividad","subactividad")</f>
        <v>subactividad</v>
      </c>
      <c r="G358" s="12"/>
      <c r="H358" s="19">
        <f t="shared" si="41"/>
        <v>46129</v>
      </c>
      <c r="I358" s="19">
        <f>IF(Tabla15[[#This Row],[Duracion ideal (dia)]]="",I357,Tabla15[[#This Row],[Inicio ideal]]+Tabla15[[#This Row],[Duracion ideal (dia)]])</f>
        <v>46129</v>
      </c>
      <c r="J358" s="12"/>
      <c r="K358" s="19">
        <f>IF(Tabla15[[#This Row],[Duracion Real (dia)]]="",K357,L357)</f>
        <v>46137</v>
      </c>
      <c r="L358" s="19">
        <f>IF(Tabla15[[#This Row],[Duracion Real (dia)]]="",L357,Tabla15[[#This Row],[Inicio Real]]+Tabla15[[#This Row],[Duracion Real (dia)]])</f>
        <v>46144</v>
      </c>
      <c r="M358" s="12"/>
      <c r="N358" s="19" t="s">
        <v>35</v>
      </c>
      <c r="O358" s="13" t="s">
        <v>35</v>
      </c>
      <c r="P358" s="13" t="s">
        <v>35</v>
      </c>
      <c r="Q358" s="13" t="s">
        <v>35</v>
      </c>
      <c r="R358" s="13" t="s">
        <v>35</v>
      </c>
      <c r="S358" s="13" t="s">
        <v>35</v>
      </c>
      <c r="T358" s="13" t="s">
        <v>35</v>
      </c>
    </row>
    <row r="359" spans="1:20" hidden="1">
      <c r="A359" s="9" t="str">
        <f>CONCATENATE($A$355,".",B359)</f>
        <v>3.1.3.2.4</v>
      </c>
      <c r="B359" s="9">
        <f>IF(B358=" ",1,B358+1)</f>
        <v>4</v>
      </c>
      <c r="C359" s="20" t="s">
        <v>454</v>
      </c>
      <c r="D359" s="15" t="s">
        <v>422</v>
      </c>
      <c r="E359" s="15" t="s">
        <v>29</v>
      </c>
      <c r="F359" s="15" t="str">
        <f>IF(Tabla15[[#This Row],[Columna1]]="","actividad","subactividad")</f>
        <v>subactividad</v>
      </c>
      <c r="G359" s="16"/>
      <c r="H359" s="19">
        <f t="shared" si="41"/>
        <v>46129</v>
      </c>
      <c r="I359" s="19">
        <f>IF(Tabla15[[#This Row],[Duracion ideal (dia)]]="",I358,Tabla15[[#This Row],[Inicio ideal]]+Tabla15[[#This Row],[Duracion ideal (dia)]])</f>
        <v>46129</v>
      </c>
      <c r="J359" s="16"/>
      <c r="K359" s="19">
        <f>IF(Tabla15[[#This Row],[Duracion Real (dia)]]="",K358,L358)</f>
        <v>46137</v>
      </c>
      <c r="L359" s="19">
        <f>IF(Tabla15[[#This Row],[Duracion Real (dia)]]="",L358,Tabla15[[#This Row],[Inicio Real]]+Tabla15[[#This Row],[Duracion Real (dia)]])</f>
        <v>46144</v>
      </c>
      <c r="M359" s="16"/>
      <c r="N359" s="19" t="s">
        <v>35</v>
      </c>
      <c r="O359" s="13" t="s">
        <v>35</v>
      </c>
      <c r="P359" s="13" t="s">
        <v>35</v>
      </c>
      <c r="Q359" s="13" t="s">
        <v>35</v>
      </c>
      <c r="R359" s="13" t="s">
        <v>35</v>
      </c>
      <c r="S359" s="13" t="s">
        <v>35</v>
      </c>
      <c r="T359" s="13" t="s">
        <v>35</v>
      </c>
    </row>
    <row r="360" spans="1:20" hidden="1">
      <c r="A360" s="9" t="str">
        <f>CONCATENATE($A$355,".",B360)</f>
        <v>3.1.3.2.5</v>
      </c>
      <c r="B360" s="9">
        <f>IF(B359=" ",1,B359+1)</f>
        <v>5</v>
      </c>
      <c r="C360" s="10" t="s">
        <v>455</v>
      </c>
      <c r="D360" s="11" t="s">
        <v>422</v>
      </c>
      <c r="E360" s="11" t="s">
        <v>29</v>
      </c>
      <c r="F360" s="15" t="str">
        <f>IF(Tabla15[[#This Row],[Columna1]]="","actividad","subactividad")</f>
        <v>subactividad</v>
      </c>
      <c r="G360" s="12"/>
      <c r="H360" s="19">
        <f t="shared" si="41"/>
        <v>46129</v>
      </c>
      <c r="I360" s="19">
        <f>IF(Tabla15[[#This Row],[Duracion ideal (dia)]]="",I359,Tabla15[[#This Row],[Inicio ideal]]+Tabla15[[#This Row],[Duracion ideal (dia)]])</f>
        <v>46129</v>
      </c>
      <c r="J360" s="12"/>
      <c r="K360" s="19">
        <f>IF(Tabla15[[#This Row],[Duracion Real (dia)]]="",K359,L359)</f>
        <v>46137</v>
      </c>
      <c r="L360" s="19">
        <f>IF(Tabla15[[#This Row],[Duracion Real (dia)]]="",L359,Tabla15[[#This Row],[Inicio Real]]+Tabla15[[#This Row],[Duracion Real (dia)]])</f>
        <v>46144</v>
      </c>
      <c r="M360" s="12"/>
      <c r="N360" s="19" t="s">
        <v>35</v>
      </c>
      <c r="O360" s="13" t="s">
        <v>35</v>
      </c>
      <c r="P360" s="13" t="s">
        <v>35</v>
      </c>
      <c r="Q360" s="13" t="s">
        <v>35</v>
      </c>
      <c r="R360" s="13" t="s">
        <v>35</v>
      </c>
      <c r="S360" s="13" t="s">
        <v>35</v>
      </c>
      <c r="T360" s="13" t="s">
        <v>35</v>
      </c>
    </row>
    <row r="361" spans="1:20">
      <c r="A361" s="9" t="s">
        <v>456</v>
      </c>
      <c r="B361" s="9"/>
      <c r="C361" s="21" t="s">
        <v>457</v>
      </c>
      <c r="D361" s="15" t="s">
        <v>422</v>
      </c>
      <c r="E361" s="15" t="s">
        <v>29</v>
      </c>
      <c r="F361" s="15" t="str">
        <f>IF(Tabla15[[#This Row],[Columna1]]="","actividad","subactividad")</f>
        <v>actividad</v>
      </c>
      <c r="G361" s="16" t="s">
        <v>209</v>
      </c>
      <c r="H361" s="19">
        <f t="shared" si="41"/>
        <v>46129</v>
      </c>
      <c r="I361" s="19">
        <f>IF(Tabla15[[#This Row],[Duracion ideal (dia)]]="",I360,Tabla15[[#This Row],[Inicio ideal]]+Tabla15[[#This Row],[Duracion ideal (dia)]])</f>
        <v>46134</v>
      </c>
      <c r="J361" s="16">
        <v>5</v>
      </c>
      <c r="K361" s="19">
        <f>IF(Tabla15[[#This Row],[Duracion Real (dia)]]="",K360,L360)</f>
        <v>46144</v>
      </c>
      <c r="L361" s="19">
        <f>IF(Tabla15[[#This Row],[Duracion Real (dia)]]="",L360,Tabla15[[#This Row],[Inicio Real]]+Tabla15[[#This Row],[Duracion Real (dia)]])</f>
        <v>46149</v>
      </c>
      <c r="M361" s="16">
        <v>5</v>
      </c>
      <c r="N361" s="19" t="s">
        <v>60</v>
      </c>
      <c r="O361" s="13">
        <v>743912.11</v>
      </c>
      <c r="P361" s="13">
        <v>8076.9000000000005</v>
      </c>
      <c r="Q361" s="13">
        <v>751989.01</v>
      </c>
      <c r="R361" s="13">
        <v>753137.86</v>
      </c>
      <c r="S361" s="13">
        <v>967085.74300000002</v>
      </c>
      <c r="T361" s="13">
        <v>967085.74300000002</v>
      </c>
    </row>
    <row r="362" spans="1:20" hidden="1">
      <c r="A362" s="9" t="str">
        <f t="shared" ref="A362:A367" si="46">CONCATENATE($A$361,".",B362)</f>
        <v>3.1.3.3.1</v>
      </c>
      <c r="B362" s="9">
        <f t="shared" ref="B362:B367" si="47">IF(B361=" ",1,B361+1)</f>
        <v>1</v>
      </c>
      <c r="C362" s="10" t="s">
        <v>458</v>
      </c>
      <c r="D362" s="11" t="s">
        <v>422</v>
      </c>
      <c r="E362" s="11" t="s">
        <v>29</v>
      </c>
      <c r="F362" s="15" t="str">
        <f>IF(Tabla15[[#This Row],[Columna1]]="","actividad","subactividad")</f>
        <v>subactividad</v>
      </c>
      <c r="G362" s="12"/>
      <c r="H362" s="19">
        <f t="shared" ref="H362:H425" si="48">I361</f>
        <v>46134</v>
      </c>
      <c r="I362" s="19">
        <f>IF(Tabla15[[#This Row],[Duracion ideal (dia)]]="",I361,Tabla15[[#This Row],[Inicio ideal]]+Tabla15[[#This Row],[Duracion ideal (dia)]])</f>
        <v>46134</v>
      </c>
      <c r="J362" s="12"/>
      <c r="K362" s="19">
        <f>IF(Tabla15[[#This Row],[Duracion Real (dia)]]="",K361,L361)</f>
        <v>46144</v>
      </c>
      <c r="L362" s="19">
        <f>IF(Tabla15[[#This Row],[Duracion Real (dia)]]="",L361,Tabla15[[#This Row],[Inicio Real]]+Tabla15[[#This Row],[Duracion Real (dia)]])</f>
        <v>46149</v>
      </c>
      <c r="M362" s="12"/>
      <c r="N362" s="19" t="s">
        <v>35</v>
      </c>
      <c r="O362" s="13" t="s">
        <v>35</v>
      </c>
      <c r="P362" s="13" t="s">
        <v>35</v>
      </c>
      <c r="Q362" s="13" t="s">
        <v>35</v>
      </c>
      <c r="R362" s="13" t="s">
        <v>35</v>
      </c>
      <c r="S362" s="13" t="s">
        <v>35</v>
      </c>
      <c r="T362" s="13" t="s">
        <v>35</v>
      </c>
    </row>
    <row r="363" spans="1:20" hidden="1">
      <c r="A363" s="9" t="str">
        <f t="shared" si="46"/>
        <v>3.1.3.3.2</v>
      </c>
      <c r="B363" s="9">
        <f t="shared" si="47"/>
        <v>2</v>
      </c>
      <c r="C363" s="20" t="s">
        <v>459</v>
      </c>
      <c r="D363" s="15" t="s">
        <v>422</v>
      </c>
      <c r="E363" s="15" t="s">
        <v>29</v>
      </c>
      <c r="F363" s="15" t="str">
        <f>IF(Tabla15[[#This Row],[Columna1]]="","actividad","subactividad")</f>
        <v>subactividad</v>
      </c>
      <c r="G363" s="16"/>
      <c r="H363" s="19">
        <f t="shared" si="48"/>
        <v>46134</v>
      </c>
      <c r="I363" s="19">
        <f>IF(Tabla15[[#This Row],[Duracion ideal (dia)]]="",I362,Tabla15[[#This Row],[Inicio ideal]]+Tabla15[[#This Row],[Duracion ideal (dia)]])</f>
        <v>46134</v>
      </c>
      <c r="J363" s="16"/>
      <c r="K363" s="19">
        <f>IF(Tabla15[[#This Row],[Duracion Real (dia)]]="",K362,L362)</f>
        <v>46144</v>
      </c>
      <c r="L363" s="19">
        <f>IF(Tabla15[[#This Row],[Duracion Real (dia)]]="",L362,Tabla15[[#This Row],[Inicio Real]]+Tabla15[[#This Row],[Duracion Real (dia)]])</f>
        <v>46149</v>
      </c>
      <c r="M363" s="16"/>
      <c r="N363" s="19" t="s">
        <v>35</v>
      </c>
      <c r="O363" s="13" t="s">
        <v>35</v>
      </c>
      <c r="P363" s="13" t="s">
        <v>35</v>
      </c>
      <c r="Q363" s="13" t="s">
        <v>35</v>
      </c>
      <c r="R363" s="13" t="s">
        <v>35</v>
      </c>
      <c r="S363" s="13" t="s">
        <v>35</v>
      </c>
      <c r="T363" s="13" t="s">
        <v>35</v>
      </c>
    </row>
    <row r="364" spans="1:20" hidden="1">
      <c r="A364" s="9" t="str">
        <f t="shared" si="46"/>
        <v>3.1.3.3.3</v>
      </c>
      <c r="B364" s="9">
        <f t="shared" si="47"/>
        <v>3</v>
      </c>
      <c r="C364" s="10" t="s">
        <v>460</v>
      </c>
      <c r="D364" s="11" t="s">
        <v>422</v>
      </c>
      <c r="E364" s="11" t="s">
        <v>29</v>
      </c>
      <c r="F364" s="15" t="str">
        <f>IF(Tabla15[[#This Row],[Columna1]]="","actividad","subactividad")</f>
        <v>subactividad</v>
      </c>
      <c r="G364" s="12"/>
      <c r="H364" s="19">
        <f t="shared" si="48"/>
        <v>46134</v>
      </c>
      <c r="I364" s="19">
        <f>IF(Tabla15[[#This Row],[Duracion ideal (dia)]]="",I363,Tabla15[[#This Row],[Inicio ideal]]+Tabla15[[#This Row],[Duracion ideal (dia)]])</f>
        <v>46134</v>
      </c>
      <c r="J364" s="12"/>
      <c r="K364" s="19">
        <f>IF(Tabla15[[#This Row],[Duracion Real (dia)]]="",K363,L363)</f>
        <v>46144</v>
      </c>
      <c r="L364" s="19">
        <f>IF(Tabla15[[#This Row],[Duracion Real (dia)]]="",L363,Tabla15[[#This Row],[Inicio Real]]+Tabla15[[#This Row],[Duracion Real (dia)]])</f>
        <v>46149</v>
      </c>
      <c r="M364" s="12"/>
      <c r="N364" s="19" t="s">
        <v>35</v>
      </c>
      <c r="O364" s="13" t="s">
        <v>35</v>
      </c>
      <c r="P364" s="13" t="s">
        <v>35</v>
      </c>
      <c r="Q364" s="13" t="s">
        <v>35</v>
      </c>
      <c r="R364" s="13" t="s">
        <v>35</v>
      </c>
      <c r="S364" s="13" t="s">
        <v>35</v>
      </c>
      <c r="T364" s="13" t="s">
        <v>35</v>
      </c>
    </row>
    <row r="365" spans="1:20" hidden="1">
      <c r="A365" s="9" t="str">
        <f t="shared" si="46"/>
        <v>3.1.3.3.4</v>
      </c>
      <c r="B365" s="9">
        <f t="shared" si="47"/>
        <v>4</v>
      </c>
      <c r="C365" s="20" t="s">
        <v>461</v>
      </c>
      <c r="D365" s="15" t="s">
        <v>422</v>
      </c>
      <c r="E365" s="15" t="s">
        <v>29</v>
      </c>
      <c r="F365" s="15" t="str">
        <f>IF(Tabla15[[#This Row],[Columna1]]="","actividad","subactividad")</f>
        <v>subactividad</v>
      </c>
      <c r="G365" s="16"/>
      <c r="H365" s="19">
        <f t="shared" si="48"/>
        <v>46134</v>
      </c>
      <c r="I365" s="19">
        <f>IF(Tabla15[[#This Row],[Duracion ideal (dia)]]="",I364,Tabla15[[#This Row],[Inicio ideal]]+Tabla15[[#This Row],[Duracion ideal (dia)]])</f>
        <v>46134</v>
      </c>
      <c r="J365" s="16"/>
      <c r="K365" s="19">
        <f>IF(Tabla15[[#This Row],[Duracion Real (dia)]]="",K364,L364)</f>
        <v>46144</v>
      </c>
      <c r="L365" s="19">
        <f>IF(Tabla15[[#This Row],[Duracion Real (dia)]]="",L364,Tabla15[[#This Row],[Inicio Real]]+Tabla15[[#This Row],[Duracion Real (dia)]])</f>
        <v>46149</v>
      </c>
      <c r="M365" s="16"/>
      <c r="N365" s="19" t="s">
        <v>35</v>
      </c>
      <c r="O365" s="13" t="s">
        <v>35</v>
      </c>
      <c r="P365" s="13" t="s">
        <v>35</v>
      </c>
      <c r="Q365" s="13" t="s">
        <v>35</v>
      </c>
      <c r="R365" s="13" t="s">
        <v>35</v>
      </c>
      <c r="S365" s="13" t="s">
        <v>35</v>
      </c>
      <c r="T365" s="13" t="s">
        <v>35</v>
      </c>
    </row>
    <row r="366" spans="1:20" hidden="1">
      <c r="A366" s="9" t="str">
        <f t="shared" si="46"/>
        <v>3.1.3.3.5</v>
      </c>
      <c r="B366" s="9">
        <f t="shared" si="47"/>
        <v>5</v>
      </c>
      <c r="C366" s="10" t="s">
        <v>462</v>
      </c>
      <c r="D366" s="11" t="s">
        <v>422</v>
      </c>
      <c r="E366" s="11" t="s">
        <v>29</v>
      </c>
      <c r="F366" s="15" t="str">
        <f>IF(Tabla15[[#This Row],[Columna1]]="","actividad","subactividad")</f>
        <v>subactividad</v>
      </c>
      <c r="G366" s="12"/>
      <c r="H366" s="19">
        <f t="shared" si="48"/>
        <v>46134</v>
      </c>
      <c r="I366" s="19">
        <f>IF(Tabla15[[#This Row],[Duracion ideal (dia)]]="",I365,Tabla15[[#This Row],[Inicio ideal]]+Tabla15[[#This Row],[Duracion ideal (dia)]])</f>
        <v>46134</v>
      </c>
      <c r="J366" s="12"/>
      <c r="K366" s="19">
        <f>IF(Tabla15[[#This Row],[Duracion Real (dia)]]="",K365,L365)</f>
        <v>46144</v>
      </c>
      <c r="L366" s="19">
        <f>IF(Tabla15[[#This Row],[Duracion Real (dia)]]="",L365,Tabla15[[#This Row],[Inicio Real]]+Tabla15[[#This Row],[Duracion Real (dia)]])</f>
        <v>46149</v>
      </c>
      <c r="M366" s="12"/>
      <c r="N366" s="19" t="s">
        <v>35</v>
      </c>
      <c r="O366" s="13" t="s">
        <v>35</v>
      </c>
      <c r="P366" s="13" t="s">
        <v>35</v>
      </c>
      <c r="Q366" s="13" t="s">
        <v>35</v>
      </c>
      <c r="R366" s="13" t="s">
        <v>35</v>
      </c>
      <c r="S366" s="13" t="s">
        <v>35</v>
      </c>
      <c r="T366" s="13" t="s">
        <v>35</v>
      </c>
    </row>
    <row r="367" spans="1:20" hidden="1">
      <c r="A367" s="9" t="str">
        <f t="shared" si="46"/>
        <v>3.1.3.3.6</v>
      </c>
      <c r="B367" s="9">
        <f t="shared" si="47"/>
        <v>6</v>
      </c>
      <c r="C367" s="20" t="s">
        <v>463</v>
      </c>
      <c r="D367" s="15" t="s">
        <v>422</v>
      </c>
      <c r="E367" s="15" t="s">
        <v>29</v>
      </c>
      <c r="F367" s="15" t="str">
        <f>IF(Tabla15[[#This Row],[Columna1]]="","actividad","subactividad")</f>
        <v>subactividad</v>
      </c>
      <c r="G367" s="16"/>
      <c r="H367" s="19">
        <f t="shared" si="48"/>
        <v>46134</v>
      </c>
      <c r="I367" s="19">
        <f>IF(Tabla15[[#This Row],[Duracion ideal (dia)]]="",I366,Tabla15[[#This Row],[Inicio ideal]]+Tabla15[[#This Row],[Duracion ideal (dia)]])</f>
        <v>46134</v>
      </c>
      <c r="J367" s="16"/>
      <c r="K367" s="19">
        <f>IF(Tabla15[[#This Row],[Duracion Real (dia)]]="",K366,L366)</f>
        <v>46144</v>
      </c>
      <c r="L367" s="19">
        <f>IF(Tabla15[[#This Row],[Duracion Real (dia)]]="",L366,Tabla15[[#This Row],[Inicio Real]]+Tabla15[[#This Row],[Duracion Real (dia)]])</f>
        <v>46149</v>
      </c>
      <c r="M367" s="16"/>
      <c r="N367" s="19" t="s">
        <v>35</v>
      </c>
      <c r="O367" s="13" t="s">
        <v>35</v>
      </c>
      <c r="P367" s="13" t="s">
        <v>35</v>
      </c>
      <c r="Q367" s="13" t="s">
        <v>35</v>
      </c>
      <c r="R367" s="13" t="s">
        <v>35</v>
      </c>
      <c r="S367" s="13" t="s">
        <v>35</v>
      </c>
      <c r="T367" s="13" t="s">
        <v>35</v>
      </c>
    </row>
    <row r="368" spans="1:20">
      <c r="A368" s="9" t="s">
        <v>464</v>
      </c>
      <c r="B368" s="9"/>
      <c r="C368" s="22" t="s">
        <v>465</v>
      </c>
      <c r="D368" s="11" t="s">
        <v>422</v>
      </c>
      <c r="E368" s="11" t="s">
        <v>29</v>
      </c>
      <c r="F368" s="15" t="str">
        <f>IF(Tabla15[[#This Row],[Columna1]]="","actividad","subactividad")</f>
        <v>actividad</v>
      </c>
      <c r="G368" s="12" t="s">
        <v>209</v>
      </c>
      <c r="H368" s="19">
        <f t="shared" si="48"/>
        <v>46134</v>
      </c>
      <c r="I368" s="19">
        <f>IF(Tabla15[[#This Row],[Duracion ideal (dia)]]="",I367,Tabla15[[#This Row],[Inicio ideal]]+Tabla15[[#This Row],[Duracion ideal (dia)]])</f>
        <v>46140</v>
      </c>
      <c r="J368" s="12">
        <v>6</v>
      </c>
      <c r="K368" s="19">
        <f>IF(Tabla15[[#This Row],[Duracion Real (dia)]]="",K367,L367)</f>
        <v>46149</v>
      </c>
      <c r="L368" s="19">
        <f>IF(Tabla15[[#This Row],[Duracion Real (dia)]]="",L367,Tabla15[[#This Row],[Inicio Real]]+Tabla15[[#This Row],[Duracion Real (dia)]])</f>
        <v>46155</v>
      </c>
      <c r="M368" s="12">
        <v>6</v>
      </c>
      <c r="N368" s="19" t="s">
        <v>33</v>
      </c>
      <c r="O368" s="13">
        <v>1240170.18</v>
      </c>
      <c r="P368" s="13">
        <v>9692.2800000000007</v>
      </c>
      <c r="Q368" s="13">
        <v>1249862.46</v>
      </c>
      <c r="R368" s="13">
        <v>1247647.0799999998</v>
      </c>
      <c r="S368" s="13">
        <v>1612221.2339999999</v>
      </c>
      <c r="T368" s="13">
        <v>1612221.2339999999</v>
      </c>
    </row>
    <row r="369" spans="1:20" hidden="1">
      <c r="A369" s="9" t="str">
        <f>CONCATENATE($A$368,".",B369)</f>
        <v>3.1.3.4.1</v>
      </c>
      <c r="B369" s="9">
        <f>IF(B368=" ",1,B368+1)</f>
        <v>1</v>
      </c>
      <c r="C369" s="20" t="s">
        <v>466</v>
      </c>
      <c r="D369" s="15" t="s">
        <v>422</v>
      </c>
      <c r="E369" s="15" t="s">
        <v>29</v>
      </c>
      <c r="F369" s="15" t="str">
        <f>IF(Tabla15[[#This Row],[Columna1]]="","actividad","subactividad")</f>
        <v>subactividad</v>
      </c>
      <c r="G369" s="16"/>
      <c r="H369" s="19">
        <f t="shared" si="48"/>
        <v>46140</v>
      </c>
      <c r="I369" s="19">
        <f>IF(Tabla15[[#This Row],[Duracion ideal (dia)]]="",I368,Tabla15[[#This Row],[Inicio ideal]]+Tabla15[[#This Row],[Duracion ideal (dia)]])</f>
        <v>46140</v>
      </c>
      <c r="J369" s="16"/>
      <c r="K369" s="19">
        <f>IF(Tabla15[[#This Row],[Duracion Real (dia)]]="",K368,L368)</f>
        <v>46149</v>
      </c>
      <c r="L369" s="19">
        <f>IF(Tabla15[[#This Row],[Duracion Real (dia)]]="",L368,Tabla15[[#This Row],[Inicio Real]]+Tabla15[[#This Row],[Duracion Real (dia)]])</f>
        <v>46155</v>
      </c>
      <c r="M369" s="16"/>
      <c r="N369" s="19" t="s">
        <v>35</v>
      </c>
      <c r="O369" s="13" t="s">
        <v>35</v>
      </c>
      <c r="P369" s="13" t="s">
        <v>35</v>
      </c>
      <c r="Q369" s="13" t="s">
        <v>35</v>
      </c>
      <c r="R369" s="13" t="s">
        <v>35</v>
      </c>
      <c r="S369" s="13" t="s">
        <v>35</v>
      </c>
      <c r="T369" s="13" t="s">
        <v>35</v>
      </c>
    </row>
    <row r="370" spans="1:20" hidden="1">
      <c r="A370" s="9" t="str">
        <f>CONCATENATE($A$368,".",B370)</f>
        <v>3.1.3.4.2</v>
      </c>
      <c r="B370" s="9">
        <f>IF(B369=" ",1,B369+1)</f>
        <v>2</v>
      </c>
      <c r="C370" s="10" t="s">
        <v>467</v>
      </c>
      <c r="D370" s="11" t="s">
        <v>422</v>
      </c>
      <c r="E370" s="11" t="s">
        <v>29</v>
      </c>
      <c r="F370" s="15" t="str">
        <f>IF(Tabla15[[#This Row],[Columna1]]="","actividad","subactividad")</f>
        <v>subactividad</v>
      </c>
      <c r="G370" s="12"/>
      <c r="H370" s="19">
        <f t="shared" si="48"/>
        <v>46140</v>
      </c>
      <c r="I370" s="19">
        <f>IF(Tabla15[[#This Row],[Duracion ideal (dia)]]="",I369,Tabla15[[#This Row],[Inicio ideal]]+Tabla15[[#This Row],[Duracion ideal (dia)]])</f>
        <v>46140</v>
      </c>
      <c r="J370" s="12"/>
      <c r="K370" s="19">
        <f>IF(Tabla15[[#This Row],[Duracion Real (dia)]]="",K369,L369)</f>
        <v>46149</v>
      </c>
      <c r="L370" s="19">
        <f>IF(Tabla15[[#This Row],[Duracion Real (dia)]]="",L369,Tabla15[[#This Row],[Inicio Real]]+Tabla15[[#This Row],[Duracion Real (dia)]])</f>
        <v>46155</v>
      </c>
      <c r="M370" s="12"/>
      <c r="N370" s="19" t="s">
        <v>35</v>
      </c>
      <c r="O370" s="13" t="s">
        <v>35</v>
      </c>
      <c r="P370" s="13" t="s">
        <v>35</v>
      </c>
      <c r="Q370" s="13" t="s">
        <v>35</v>
      </c>
      <c r="R370" s="13" t="s">
        <v>35</v>
      </c>
      <c r="S370" s="13" t="s">
        <v>35</v>
      </c>
      <c r="T370" s="13" t="s">
        <v>35</v>
      </c>
    </row>
    <row r="371" spans="1:20" hidden="1">
      <c r="A371" s="9" t="str">
        <f>CONCATENATE($A$368,".",B371)</f>
        <v>3.1.3.4.3</v>
      </c>
      <c r="B371" s="9">
        <f>IF(B370=" ",1,B370+1)</f>
        <v>3</v>
      </c>
      <c r="C371" s="20" t="s">
        <v>468</v>
      </c>
      <c r="D371" s="15" t="s">
        <v>422</v>
      </c>
      <c r="E371" s="15" t="s">
        <v>29</v>
      </c>
      <c r="F371" s="15" t="str">
        <f>IF(Tabla15[[#This Row],[Columna1]]="","actividad","subactividad")</f>
        <v>subactividad</v>
      </c>
      <c r="G371" s="16"/>
      <c r="H371" s="19">
        <f t="shared" si="48"/>
        <v>46140</v>
      </c>
      <c r="I371" s="19">
        <f>IF(Tabla15[[#This Row],[Duracion ideal (dia)]]="",I370,Tabla15[[#This Row],[Inicio ideal]]+Tabla15[[#This Row],[Duracion ideal (dia)]])</f>
        <v>46140</v>
      </c>
      <c r="J371" s="16"/>
      <c r="K371" s="19">
        <f>IF(Tabla15[[#This Row],[Duracion Real (dia)]]="",K370,L370)</f>
        <v>46149</v>
      </c>
      <c r="L371" s="19">
        <f>IF(Tabla15[[#This Row],[Duracion Real (dia)]]="",L370,Tabla15[[#This Row],[Inicio Real]]+Tabla15[[#This Row],[Duracion Real (dia)]])</f>
        <v>46155</v>
      </c>
      <c r="M371" s="16"/>
      <c r="N371" s="19" t="s">
        <v>35</v>
      </c>
      <c r="O371" s="13" t="s">
        <v>35</v>
      </c>
      <c r="P371" s="13" t="s">
        <v>35</v>
      </c>
      <c r="Q371" s="13" t="s">
        <v>35</v>
      </c>
      <c r="R371" s="13" t="s">
        <v>35</v>
      </c>
      <c r="S371" s="13" t="s">
        <v>35</v>
      </c>
      <c r="T371" s="13" t="s">
        <v>35</v>
      </c>
    </row>
    <row r="372" spans="1:20" hidden="1">
      <c r="A372" s="9" t="str">
        <f>CONCATENATE($A$368,".",B372)</f>
        <v>3.1.3.4.4</v>
      </c>
      <c r="B372" s="9">
        <f>IF(B371=" ",1,B371+1)</f>
        <v>4</v>
      </c>
      <c r="C372" s="10" t="s">
        <v>469</v>
      </c>
      <c r="D372" s="11" t="s">
        <v>422</v>
      </c>
      <c r="E372" s="11" t="s">
        <v>29</v>
      </c>
      <c r="F372" s="15" t="str">
        <f>IF(Tabla15[[#This Row],[Columna1]]="","actividad","subactividad")</f>
        <v>subactividad</v>
      </c>
      <c r="G372" s="12"/>
      <c r="H372" s="19">
        <f t="shared" si="48"/>
        <v>46140</v>
      </c>
      <c r="I372" s="19">
        <f>IF(Tabla15[[#This Row],[Duracion ideal (dia)]]="",I371,Tabla15[[#This Row],[Inicio ideal]]+Tabla15[[#This Row],[Duracion ideal (dia)]])</f>
        <v>46140</v>
      </c>
      <c r="J372" s="12"/>
      <c r="K372" s="19">
        <f>IF(Tabla15[[#This Row],[Duracion Real (dia)]]="",K371,L371)</f>
        <v>46149</v>
      </c>
      <c r="L372" s="19">
        <f>IF(Tabla15[[#This Row],[Duracion Real (dia)]]="",L371,Tabla15[[#This Row],[Inicio Real]]+Tabla15[[#This Row],[Duracion Real (dia)]])</f>
        <v>46155</v>
      </c>
      <c r="M372" s="12"/>
      <c r="N372" s="19" t="s">
        <v>35</v>
      </c>
      <c r="O372" s="13" t="s">
        <v>35</v>
      </c>
      <c r="P372" s="13" t="s">
        <v>35</v>
      </c>
      <c r="Q372" s="13" t="s">
        <v>35</v>
      </c>
      <c r="R372" s="13" t="s">
        <v>35</v>
      </c>
      <c r="S372" s="13" t="s">
        <v>35</v>
      </c>
      <c r="T372" s="13" t="s">
        <v>35</v>
      </c>
    </row>
    <row r="373" spans="1:20">
      <c r="A373" s="9" t="s">
        <v>470</v>
      </c>
      <c r="B373" s="9"/>
      <c r="C373" s="21" t="s">
        <v>471</v>
      </c>
      <c r="D373" s="15" t="s">
        <v>422</v>
      </c>
      <c r="E373" s="15" t="s">
        <v>29</v>
      </c>
      <c r="F373" s="15" t="str">
        <f>IF(Tabla15[[#This Row],[Columna1]]="","actividad","subactividad")</f>
        <v>actividad</v>
      </c>
      <c r="G373" s="16" t="s">
        <v>209</v>
      </c>
      <c r="H373" s="19">
        <f t="shared" si="48"/>
        <v>46140</v>
      </c>
      <c r="I373" s="19">
        <f>IF(Tabla15[[#This Row],[Duracion ideal (dia)]]="",I372,Tabla15[[#This Row],[Inicio ideal]]+Tabla15[[#This Row],[Duracion ideal (dia)]])</f>
        <v>46148</v>
      </c>
      <c r="J373" s="16">
        <v>8</v>
      </c>
      <c r="K373" s="19">
        <f>IF(Tabla15[[#This Row],[Duracion Real (dia)]]="",K372,L372)</f>
        <v>46155</v>
      </c>
      <c r="L373" s="19">
        <f>IF(Tabla15[[#This Row],[Duracion Real (dia)]]="",L372,Tabla15[[#This Row],[Inicio Real]]+Tabla15[[#This Row],[Duracion Real (dia)]])</f>
        <v>46163</v>
      </c>
      <c r="M373" s="16">
        <v>8</v>
      </c>
      <c r="N373" s="19" t="s">
        <v>69</v>
      </c>
      <c r="O373" s="13">
        <v>2480340.35</v>
      </c>
      <c r="P373" s="13">
        <v>12923.04</v>
      </c>
      <c r="Q373" s="13">
        <v>2493263.39</v>
      </c>
      <c r="R373" s="13">
        <v>2493263.39</v>
      </c>
      <c r="S373" s="13">
        <v>3224442.4550000001</v>
      </c>
      <c r="T373" s="13">
        <v>3224442.4550000001</v>
      </c>
    </row>
    <row r="374" spans="1:20" hidden="1">
      <c r="A374" s="9" t="str">
        <f>CONCATENATE($A$373,".",B374)</f>
        <v>3.1.3.5.1</v>
      </c>
      <c r="B374" s="9">
        <f>IF(B373=" ",1,B373+1)</f>
        <v>1</v>
      </c>
      <c r="C374" s="10" t="s">
        <v>472</v>
      </c>
      <c r="D374" s="11" t="s">
        <v>422</v>
      </c>
      <c r="E374" s="11" t="s">
        <v>29</v>
      </c>
      <c r="F374" s="15" t="str">
        <f>IF(Tabla15[[#This Row],[Columna1]]="","actividad","subactividad")</f>
        <v>subactividad</v>
      </c>
      <c r="G374" s="12"/>
      <c r="H374" s="19">
        <f t="shared" si="48"/>
        <v>46148</v>
      </c>
      <c r="I374" s="19">
        <f>IF(Tabla15[[#This Row],[Duracion ideal (dia)]]="",I373,Tabla15[[#This Row],[Inicio ideal]]+Tabla15[[#This Row],[Duracion ideal (dia)]])</f>
        <v>46148</v>
      </c>
      <c r="J374" s="12"/>
      <c r="K374" s="19">
        <f>IF(Tabla15[[#This Row],[Duracion Real (dia)]]="",K373,L373)</f>
        <v>46155</v>
      </c>
      <c r="L374" s="19">
        <f>IF(Tabla15[[#This Row],[Duracion Real (dia)]]="",L373,Tabla15[[#This Row],[Inicio Real]]+Tabla15[[#This Row],[Duracion Real (dia)]])</f>
        <v>46163</v>
      </c>
      <c r="M374" s="12"/>
      <c r="N374" s="19" t="s">
        <v>35</v>
      </c>
      <c r="O374" s="13" t="s">
        <v>35</v>
      </c>
      <c r="P374" s="13" t="s">
        <v>35</v>
      </c>
      <c r="Q374" s="13" t="s">
        <v>35</v>
      </c>
      <c r="R374" s="13" t="s">
        <v>35</v>
      </c>
      <c r="S374" s="13" t="s">
        <v>35</v>
      </c>
      <c r="T374" s="13" t="s">
        <v>35</v>
      </c>
    </row>
    <row r="375" spans="1:20" hidden="1">
      <c r="A375" s="9" t="str">
        <f>CONCATENATE($A$373,".",B375)</f>
        <v>3.1.3.5.2</v>
      </c>
      <c r="B375" s="9">
        <f>IF(B374=" ",1,B374+1)</f>
        <v>2</v>
      </c>
      <c r="C375" s="20" t="s">
        <v>473</v>
      </c>
      <c r="D375" s="15" t="s">
        <v>422</v>
      </c>
      <c r="E375" s="15" t="s">
        <v>29</v>
      </c>
      <c r="F375" s="15" t="str">
        <f>IF(Tabla15[[#This Row],[Columna1]]="","actividad","subactividad")</f>
        <v>subactividad</v>
      </c>
      <c r="G375" s="16"/>
      <c r="H375" s="19">
        <f t="shared" si="48"/>
        <v>46148</v>
      </c>
      <c r="I375" s="19">
        <f>IF(Tabla15[[#This Row],[Duracion ideal (dia)]]="",I374,Tabla15[[#This Row],[Inicio ideal]]+Tabla15[[#This Row],[Duracion ideal (dia)]])</f>
        <v>46148</v>
      </c>
      <c r="J375" s="16"/>
      <c r="K375" s="19">
        <f>IF(Tabla15[[#This Row],[Duracion Real (dia)]]="",K374,L374)</f>
        <v>46155</v>
      </c>
      <c r="L375" s="19">
        <f>IF(Tabla15[[#This Row],[Duracion Real (dia)]]="",L374,Tabla15[[#This Row],[Inicio Real]]+Tabla15[[#This Row],[Duracion Real (dia)]])</f>
        <v>46163</v>
      </c>
      <c r="M375" s="16"/>
      <c r="N375" s="19" t="s">
        <v>35</v>
      </c>
      <c r="O375" s="13" t="s">
        <v>35</v>
      </c>
      <c r="P375" s="13" t="s">
        <v>35</v>
      </c>
      <c r="Q375" s="13" t="s">
        <v>35</v>
      </c>
      <c r="R375" s="13" t="s">
        <v>35</v>
      </c>
      <c r="S375" s="13" t="s">
        <v>35</v>
      </c>
      <c r="T375" s="13" t="s">
        <v>35</v>
      </c>
    </row>
    <row r="376" spans="1:20" hidden="1">
      <c r="A376" s="9" t="str">
        <f>CONCATENATE($A$373,".",B376)</f>
        <v>3.1.3.5.3</v>
      </c>
      <c r="B376" s="9">
        <f>IF(B375=" ",1,B375+1)</f>
        <v>3</v>
      </c>
      <c r="C376" s="10" t="s">
        <v>474</v>
      </c>
      <c r="D376" s="11" t="s">
        <v>422</v>
      </c>
      <c r="E376" s="11" t="s">
        <v>29</v>
      </c>
      <c r="F376" s="15" t="str">
        <f>IF(Tabla15[[#This Row],[Columna1]]="","actividad","subactividad")</f>
        <v>subactividad</v>
      </c>
      <c r="G376" s="12"/>
      <c r="H376" s="19">
        <f t="shared" si="48"/>
        <v>46148</v>
      </c>
      <c r="I376" s="19">
        <f>IF(Tabla15[[#This Row],[Duracion ideal (dia)]]="",I375,Tabla15[[#This Row],[Inicio ideal]]+Tabla15[[#This Row],[Duracion ideal (dia)]])</f>
        <v>46148</v>
      </c>
      <c r="J376" s="12"/>
      <c r="K376" s="19">
        <f>IF(Tabla15[[#This Row],[Duracion Real (dia)]]="",K375,L375)</f>
        <v>46155</v>
      </c>
      <c r="L376" s="19">
        <f>IF(Tabla15[[#This Row],[Duracion Real (dia)]]="",L375,Tabla15[[#This Row],[Inicio Real]]+Tabla15[[#This Row],[Duracion Real (dia)]])</f>
        <v>46163</v>
      </c>
      <c r="M376" s="12"/>
      <c r="N376" s="19" t="s">
        <v>35</v>
      </c>
      <c r="O376" s="13" t="s">
        <v>35</v>
      </c>
      <c r="P376" s="13" t="s">
        <v>35</v>
      </c>
      <c r="Q376" s="13" t="s">
        <v>35</v>
      </c>
      <c r="R376" s="13" t="s">
        <v>35</v>
      </c>
      <c r="S376" s="13" t="s">
        <v>35</v>
      </c>
      <c r="T376" s="13" t="s">
        <v>35</v>
      </c>
    </row>
    <row r="377" spans="1:20" hidden="1">
      <c r="A377" s="9" t="str">
        <f>CONCATENATE($A$373,".",B377)</f>
        <v>3.1.3.5.4</v>
      </c>
      <c r="B377" s="9">
        <f>IF(B376=" ",1,B376+1)</f>
        <v>4</v>
      </c>
      <c r="C377" s="20" t="s">
        <v>475</v>
      </c>
      <c r="D377" s="15" t="s">
        <v>422</v>
      </c>
      <c r="E377" s="15" t="s">
        <v>29</v>
      </c>
      <c r="F377" s="15" t="str">
        <f>IF(Tabla15[[#This Row],[Columna1]]="","actividad","subactividad")</f>
        <v>subactividad</v>
      </c>
      <c r="G377" s="16"/>
      <c r="H377" s="19">
        <f t="shared" si="48"/>
        <v>46148</v>
      </c>
      <c r="I377" s="19">
        <f>IF(Tabla15[[#This Row],[Duracion ideal (dia)]]="",I376,Tabla15[[#This Row],[Inicio ideal]]+Tabla15[[#This Row],[Duracion ideal (dia)]])</f>
        <v>46148</v>
      </c>
      <c r="J377" s="16"/>
      <c r="K377" s="19">
        <f>IF(Tabla15[[#This Row],[Duracion Real (dia)]]="",K376,L376)</f>
        <v>46155</v>
      </c>
      <c r="L377" s="19">
        <f>IF(Tabla15[[#This Row],[Duracion Real (dia)]]="",L376,Tabla15[[#This Row],[Inicio Real]]+Tabla15[[#This Row],[Duracion Real (dia)]])</f>
        <v>46163</v>
      </c>
      <c r="M377" s="16"/>
      <c r="N377" s="19" t="s">
        <v>35</v>
      </c>
      <c r="O377" s="13" t="s">
        <v>35</v>
      </c>
      <c r="P377" s="13" t="s">
        <v>35</v>
      </c>
      <c r="Q377" s="13" t="s">
        <v>35</v>
      </c>
      <c r="R377" s="13" t="s">
        <v>35</v>
      </c>
      <c r="S377" s="13" t="s">
        <v>35</v>
      </c>
      <c r="T377" s="13" t="s">
        <v>35</v>
      </c>
    </row>
    <row r="378" spans="1:20">
      <c r="A378" s="9" t="s">
        <v>476</v>
      </c>
      <c r="B378" s="9"/>
      <c r="C378" s="22" t="s">
        <v>477</v>
      </c>
      <c r="D378" s="11" t="s">
        <v>422</v>
      </c>
      <c r="E378" s="11" t="s">
        <v>29</v>
      </c>
      <c r="F378" s="15" t="str">
        <f>IF(Tabla15[[#This Row],[Columna1]]="","actividad","subactividad")</f>
        <v>actividad</v>
      </c>
      <c r="G378" s="12" t="s">
        <v>209</v>
      </c>
      <c r="H378" s="19">
        <f t="shared" si="48"/>
        <v>46148</v>
      </c>
      <c r="I378" s="19">
        <f>IF(Tabla15[[#This Row],[Duracion ideal (dia)]]="",I377,Tabla15[[#This Row],[Inicio ideal]]+Tabla15[[#This Row],[Duracion ideal (dia)]])</f>
        <v>46153</v>
      </c>
      <c r="J378" s="12">
        <v>5</v>
      </c>
      <c r="K378" s="19">
        <f>IF(Tabla15[[#This Row],[Duracion Real (dia)]]="",K377,L377)</f>
        <v>46163</v>
      </c>
      <c r="L378" s="19">
        <f>IF(Tabla15[[#This Row],[Duracion Real (dia)]]="",L377,Tabla15[[#This Row],[Inicio Real]]+Tabla15[[#This Row],[Duracion Real (dia)]])</f>
        <v>46168</v>
      </c>
      <c r="M378" s="12">
        <v>5</v>
      </c>
      <c r="N378" s="19" t="s">
        <v>33</v>
      </c>
      <c r="O378" s="13">
        <v>1488024.21</v>
      </c>
      <c r="P378" s="13">
        <v>9225.75</v>
      </c>
      <c r="Q378" s="13">
        <v>1497249.96</v>
      </c>
      <c r="R378" s="13">
        <v>1494254.96</v>
      </c>
      <c r="S378" s="13">
        <v>1934431.473</v>
      </c>
      <c r="T378" s="13">
        <v>1934431.473</v>
      </c>
    </row>
    <row r="379" spans="1:20" hidden="1">
      <c r="A379" s="9" t="str">
        <f>CONCATENATE($A$378,".",B379)</f>
        <v>3.1.3.6.1</v>
      </c>
      <c r="B379" s="9">
        <f>IF(B378=" ",1,B378+1)</f>
        <v>1</v>
      </c>
      <c r="C379" s="20" t="s">
        <v>478</v>
      </c>
      <c r="D379" s="15" t="s">
        <v>422</v>
      </c>
      <c r="E379" s="15" t="s">
        <v>29</v>
      </c>
      <c r="F379" s="15" t="str">
        <f>IF(Tabla15[[#This Row],[Columna1]]="","actividad","subactividad")</f>
        <v>subactividad</v>
      </c>
      <c r="G379" s="16"/>
      <c r="H379" s="19">
        <f t="shared" si="48"/>
        <v>46153</v>
      </c>
      <c r="I379" s="19">
        <f>IF(Tabla15[[#This Row],[Duracion ideal (dia)]]="",I378,Tabla15[[#This Row],[Inicio ideal]]+Tabla15[[#This Row],[Duracion ideal (dia)]])</f>
        <v>46153</v>
      </c>
      <c r="J379" s="16"/>
      <c r="K379" s="19">
        <f>IF(Tabla15[[#This Row],[Duracion Real (dia)]]="",K378,L378)</f>
        <v>46163</v>
      </c>
      <c r="L379" s="19">
        <f>IF(Tabla15[[#This Row],[Duracion Real (dia)]]="",L378,Tabla15[[#This Row],[Inicio Real]]+Tabla15[[#This Row],[Duracion Real (dia)]])</f>
        <v>46168</v>
      </c>
      <c r="M379" s="16"/>
      <c r="N379" s="19" t="s">
        <v>35</v>
      </c>
      <c r="O379" s="13" t="s">
        <v>35</v>
      </c>
      <c r="P379" s="13" t="s">
        <v>35</v>
      </c>
      <c r="Q379" s="13" t="s">
        <v>35</v>
      </c>
      <c r="R379" s="13" t="s">
        <v>35</v>
      </c>
      <c r="S379" s="13" t="s">
        <v>35</v>
      </c>
      <c r="T379" s="13" t="s">
        <v>35</v>
      </c>
    </row>
    <row r="380" spans="1:20" hidden="1">
      <c r="A380" s="9" t="str">
        <f>CONCATENATE($A$378,".",B380)</f>
        <v>3.1.3.6.2</v>
      </c>
      <c r="B380" s="9">
        <f>IF(B379=" ",1,B379+1)</f>
        <v>2</v>
      </c>
      <c r="C380" s="10" t="s">
        <v>479</v>
      </c>
      <c r="D380" s="11" t="s">
        <v>422</v>
      </c>
      <c r="E380" s="11" t="s">
        <v>29</v>
      </c>
      <c r="F380" s="15" t="str">
        <f>IF(Tabla15[[#This Row],[Columna1]]="","actividad","subactividad")</f>
        <v>subactividad</v>
      </c>
      <c r="G380" s="12"/>
      <c r="H380" s="19">
        <f t="shared" si="48"/>
        <v>46153</v>
      </c>
      <c r="I380" s="19">
        <f>IF(Tabla15[[#This Row],[Duracion ideal (dia)]]="",I379,Tabla15[[#This Row],[Inicio ideal]]+Tabla15[[#This Row],[Duracion ideal (dia)]])</f>
        <v>46153</v>
      </c>
      <c r="J380" s="12"/>
      <c r="K380" s="19">
        <f>IF(Tabla15[[#This Row],[Duracion Real (dia)]]="",K379,L379)</f>
        <v>46163</v>
      </c>
      <c r="L380" s="19">
        <f>IF(Tabla15[[#This Row],[Duracion Real (dia)]]="",L379,Tabla15[[#This Row],[Inicio Real]]+Tabla15[[#This Row],[Duracion Real (dia)]])</f>
        <v>46168</v>
      </c>
      <c r="M380" s="12"/>
      <c r="N380" s="19" t="s">
        <v>35</v>
      </c>
      <c r="O380" s="13" t="s">
        <v>35</v>
      </c>
      <c r="P380" s="13" t="s">
        <v>35</v>
      </c>
      <c r="Q380" s="13" t="s">
        <v>35</v>
      </c>
      <c r="R380" s="13" t="s">
        <v>35</v>
      </c>
      <c r="S380" s="13" t="s">
        <v>35</v>
      </c>
      <c r="T380" s="13" t="s">
        <v>35</v>
      </c>
    </row>
    <row r="381" spans="1:20" hidden="1">
      <c r="A381" s="9" t="str">
        <f>CONCATENATE($A$378,".",B381)</f>
        <v>3.1.3.6.3</v>
      </c>
      <c r="B381" s="9">
        <f>IF(B380=" ",1,B380+1)</f>
        <v>3</v>
      </c>
      <c r="C381" s="20" t="s">
        <v>480</v>
      </c>
      <c r="D381" s="15" t="s">
        <v>422</v>
      </c>
      <c r="E381" s="15" t="s">
        <v>29</v>
      </c>
      <c r="F381" s="15" t="str">
        <f>IF(Tabla15[[#This Row],[Columna1]]="","actividad","subactividad")</f>
        <v>subactividad</v>
      </c>
      <c r="G381" s="16"/>
      <c r="H381" s="19">
        <f t="shared" si="48"/>
        <v>46153</v>
      </c>
      <c r="I381" s="19">
        <f>IF(Tabla15[[#This Row],[Duracion ideal (dia)]]="",I380,Tabla15[[#This Row],[Inicio ideal]]+Tabla15[[#This Row],[Duracion ideal (dia)]])</f>
        <v>46153</v>
      </c>
      <c r="J381" s="16"/>
      <c r="K381" s="19">
        <f>IF(Tabla15[[#This Row],[Duracion Real (dia)]]="",K380,L380)</f>
        <v>46163</v>
      </c>
      <c r="L381" s="19">
        <f>IF(Tabla15[[#This Row],[Duracion Real (dia)]]="",L380,Tabla15[[#This Row],[Inicio Real]]+Tabla15[[#This Row],[Duracion Real (dia)]])</f>
        <v>46168</v>
      </c>
      <c r="M381" s="16"/>
      <c r="N381" s="19" t="s">
        <v>35</v>
      </c>
      <c r="O381" s="13" t="s">
        <v>35</v>
      </c>
      <c r="P381" s="13" t="s">
        <v>35</v>
      </c>
      <c r="Q381" s="13" t="s">
        <v>35</v>
      </c>
      <c r="R381" s="13" t="s">
        <v>35</v>
      </c>
      <c r="S381" s="13" t="s">
        <v>35</v>
      </c>
      <c r="T381" s="13" t="s">
        <v>35</v>
      </c>
    </row>
    <row r="382" spans="1:20" hidden="1">
      <c r="A382" s="9" t="str">
        <f>CONCATENATE($A$378,".",B382)</f>
        <v>3.1.3.6.4</v>
      </c>
      <c r="B382" s="9">
        <f>IF(B381=" ",1,B381+1)</f>
        <v>4</v>
      </c>
      <c r="C382" s="10" t="s">
        <v>481</v>
      </c>
      <c r="D382" s="11" t="s">
        <v>422</v>
      </c>
      <c r="E382" s="11" t="s">
        <v>29</v>
      </c>
      <c r="F382" s="15" t="str">
        <f>IF(Tabla15[[#This Row],[Columna1]]="","actividad","subactividad")</f>
        <v>subactividad</v>
      </c>
      <c r="G382" s="12"/>
      <c r="H382" s="19">
        <f t="shared" si="48"/>
        <v>46153</v>
      </c>
      <c r="I382" s="19">
        <f>IF(Tabla15[[#This Row],[Duracion ideal (dia)]]="",I381,Tabla15[[#This Row],[Inicio ideal]]+Tabla15[[#This Row],[Duracion ideal (dia)]])</f>
        <v>46153</v>
      </c>
      <c r="J382" s="12"/>
      <c r="K382" s="19">
        <f>IF(Tabla15[[#This Row],[Duracion Real (dia)]]="",K381,L381)</f>
        <v>46163</v>
      </c>
      <c r="L382" s="19">
        <f>IF(Tabla15[[#This Row],[Duracion Real (dia)]]="",L381,Tabla15[[#This Row],[Inicio Real]]+Tabla15[[#This Row],[Duracion Real (dia)]])</f>
        <v>46168</v>
      </c>
      <c r="M382" s="12"/>
      <c r="N382" s="19" t="s">
        <v>35</v>
      </c>
      <c r="O382" s="13" t="s">
        <v>35</v>
      </c>
      <c r="P382" s="13" t="s">
        <v>35</v>
      </c>
      <c r="Q382" s="13" t="s">
        <v>35</v>
      </c>
      <c r="R382" s="13" t="s">
        <v>35</v>
      </c>
      <c r="S382" s="13" t="s">
        <v>35</v>
      </c>
      <c r="T382" s="13" t="s">
        <v>35</v>
      </c>
    </row>
    <row r="383" spans="1:20" hidden="1">
      <c r="A383" s="9" t="str">
        <f>CONCATENATE($A$378,".",B383)</f>
        <v>3.1.3.6.5</v>
      </c>
      <c r="B383" s="9">
        <f>IF(B382=" ",1,B382+1)</f>
        <v>5</v>
      </c>
      <c r="C383" s="20" t="s">
        <v>482</v>
      </c>
      <c r="D383" s="15" t="s">
        <v>422</v>
      </c>
      <c r="E383" s="15" t="s">
        <v>29</v>
      </c>
      <c r="F383" s="15" t="str">
        <f>IF(Tabla15[[#This Row],[Columna1]]="","actividad","subactividad")</f>
        <v>subactividad</v>
      </c>
      <c r="G383" s="16"/>
      <c r="H383" s="19">
        <f t="shared" si="48"/>
        <v>46153</v>
      </c>
      <c r="I383" s="19">
        <f>IF(Tabla15[[#This Row],[Duracion ideal (dia)]]="",I382,Tabla15[[#This Row],[Inicio ideal]]+Tabla15[[#This Row],[Duracion ideal (dia)]])</f>
        <v>46153</v>
      </c>
      <c r="J383" s="16"/>
      <c r="K383" s="19">
        <f>IF(Tabla15[[#This Row],[Duracion Real (dia)]]="",K382,L382)</f>
        <v>46163</v>
      </c>
      <c r="L383" s="19">
        <f>IF(Tabla15[[#This Row],[Duracion Real (dia)]]="",L382,Tabla15[[#This Row],[Inicio Real]]+Tabla15[[#This Row],[Duracion Real (dia)]])</f>
        <v>46168</v>
      </c>
      <c r="M383" s="16"/>
      <c r="N383" s="19" t="s">
        <v>35</v>
      </c>
      <c r="O383" s="13" t="s">
        <v>35</v>
      </c>
      <c r="P383" s="13" t="s">
        <v>35</v>
      </c>
      <c r="Q383" s="13" t="s">
        <v>35</v>
      </c>
      <c r="R383" s="13" t="s">
        <v>35</v>
      </c>
      <c r="S383" s="13" t="s">
        <v>35</v>
      </c>
      <c r="T383" s="13" t="s">
        <v>35</v>
      </c>
    </row>
    <row r="384" spans="1:20">
      <c r="A384" s="9" t="s">
        <v>483</v>
      </c>
      <c r="B384" s="9"/>
      <c r="C384" s="22" t="s">
        <v>484</v>
      </c>
      <c r="D384" s="11" t="s">
        <v>422</v>
      </c>
      <c r="E384" s="11" t="s">
        <v>29</v>
      </c>
      <c r="F384" s="15" t="str">
        <f>IF(Tabla15[[#This Row],[Columna1]]="","actividad","subactividad")</f>
        <v>actividad</v>
      </c>
      <c r="G384" s="12" t="s">
        <v>209</v>
      </c>
      <c r="H384" s="19">
        <f t="shared" si="48"/>
        <v>46153</v>
      </c>
      <c r="I384" s="19">
        <f>IF(Tabla15[[#This Row],[Duracion ideal (dia)]]="",I383,Tabla15[[#This Row],[Inicio ideal]]+Tabla15[[#This Row],[Duracion ideal (dia)]])</f>
        <v>46159</v>
      </c>
      <c r="J384" s="12">
        <v>6</v>
      </c>
      <c r="K384" s="19">
        <f>IF(Tabla15[[#This Row],[Duracion Real (dia)]]="",K383,L383)</f>
        <v>46168</v>
      </c>
      <c r="L384" s="19">
        <f>IF(Tabla15[[#This Row],[Duracion Real (dia)]]="",L383,Tabla15[[#This Row],[Inicio Real]]+Tabla15[[#This Row],[Duracion Real (dia)]])</f>
        <v>46174</v>
      </c>
      <c r="M384" s="12">
        <v>6</v>
      </c>
      <c r="N384" s="19" t="s">
        <v>160</v>
      </c>
      <c r="O384" s="13">
        <v>1984032.28</v>
      </c>
      <c r="P384" s="13">
        <v>7476.9000000000005</v>
      </c>
      <c r="Q384" s="13">
        <v>1991509.18</v>
      </c>
      <c r="R384" s="13">
        <v>1992340</v>
      </c>
      <c r="S384" s="13">
        <v>2579241.9640000002</v>
      </c>
      <c r="T384" s="13">
        <v>2579241.9640000002</v>
      </c>
    </row>
    <row r="385" spans="1:20" hidden="1">
      <c r="A385" s="9" t="str">
        <f t="shared" ref="A385:A390" si="49">CONCATENATE($A$384,".",B385)</f>
        <v>3.1.3.7.1</v>
      </c>
      <c r="B385" s="9">
        <f t="shared" ref="B385:B390" si="50">IF(B384=" ",1,B384+1)</f>
        <v>1</v>
      </c>
      <c r="C385" s="20" t="s">
        <v>485</v>
      </c>
      <c r="D385" s="15" t="s">
        <v>422</v>
      </c>
      <c r="E385" s="15" t="s">
        <v>29</v>
      </c>
      <c r="F385" s="15" t="str">
        <f>IF(Tabla15[[#This Row],[Columna1]]="","actividad","subactividad")</f>
        <v>subactividad</v>
      </c>
      <c r="G385" s="16"/>
      <c r="H385" s="19">
        <f t="shared" si="48"/>
        <v>46159</v>
      </c>
      <c r="I385" s="19">
        <f>IF(Tabla15[[#This Row],[Duracion ideal (dia)]]="",I384,Tabla15[[#This Row],[Inicio ideal]]+Tabla15[[#This Row],[Duracion ideal (dia)]])</f>
        <v>46159</v>
      </c>
      <c r="J385" s="16"/>
      <c r="K385" s="19">
        <f>IF(Tabla15[[#This Row],[Duracion Real (dia)]]="",K384,L384)</f>
        <v>46168</v>
      </c>
      <c r="L385" s="19">
        <f>IF(Tabla15[[#This Row],[Duracion Real (dia)]]="",L384,Tabla15[[#This Row],[Inicio Real]]+Tabla15[[#This Row],[Duracion Real (dia)]])</f>
        <v>46174</v>
      </c>
      <c r="M385" s="16"/>
      <c r="N385" s="19" t="s">
        <v>35</v>
      </c>
      <c r="O385" s="13" t="s">
        <v>35</v>
      </c>
      <c r="P385" s="13" t="s">
        <v>35</v>
      </c>
      <c r="Q385" s="13" t="s">
        <v>35</v>
      </c>
      <c r="R385" s="13" t="s">
        <v>35</v>
      </c>
      <c r="S385" s="13" t="s">
        <v>35</v>
      </c>
      <c r="T385" s="13" t="s">
        <v>35</v>
      </c>
    </row>
    <row r="386" spans="1:20" hidden="1">
      <c r="A386" s="9" t="str">
        <f t="shared" si="49"/>
        <v>3.1.3.7.2</v>
      </c>
      <c r="B386" s="9">
        <f t="shared" si="50"/>
        <v>2</v>
      </c>
      <c r="C386" s="10" t="s">
        <v>486</v>
      </c>
      <c r="D386" s="11" t="s">
        <v>422</v>
      </c>
      <c r="E386" s="11" t="s">
        <v>29</v>
      </c>
      <c r="F386" s="15" t="str">
        <f>IF(Tabla15[[#This Row],[Columna1]]="","actividad","subactividad")</f>
        <v>subactividad</v>
      </c>
      <c r="G386" s="12"/>
      <c r="H386" s="19">
        <f t="shared" si="48"/>
        <v>46159</v>
      </c>
      <c r="I386" s="19">
        <f>IF(Tabla15[[#This Row],[Duracion ideal (dia)]]="",I385,Tabla15[[#This Row],[Inicio ideal]]+Tabla15[[#This Row],[Duracion ideal (dia)]])</f>
        <v>46159</v>
      </c>
      <c r="J386" s="12"/>
      <c r="K386" s="19">
        <f>IF(Tabla15[[#This Row],[Duracion Real (dia)]]="",K385,L385)</f>
        <v>46168</v>
      </c>
      <c r="L386" s="19">
        <f>IF(Tabla15[[#This Row],[Duracion Real (dia)]]="",L385,Tabla15[[#This Row],[Inicio Real]]+Tabla15[[#This Row],[Duracion Real (dia)]])</f>
        <v>46174</v>
      </c>
      <c r="M386" s="12"/>
      <c r="N386" s="19" t="s">
        <v>35</v>
      </c>
      <c r="O386" s="13" t="s">
        <v>35</v>
      </c>
      <c r="P386" s="13" t="s">
        <v>35</v>
      </c>
      <c r="Q386" s="13" t="s">
        <v>35</v>
      </c>
      <c r="R386" s="13" t="s">
        <v>35</v>
      </c>
      <c r="S386" s="13" t="s">
        <v>35</v>
      </c>
      <c r="T386" s="13" t="s">
        <v>35</v>
      </c>
    </row>
    <row r="387" spans="1:20" hidden="1">
      <c r="A387" s="9" t="str">
        <f t="shared" si="49"/>
        <v>3.1.3.7.3</v>
      </c>
      <c r="B387" s="9">
        <f t="shared" si="50"/>
        <v>3</v>
      </c>
      <c r="C387" s="20" t="s">
        <v>487</v>
      </c>
      <c r="D387" s="15" t="s">
        <v>422</v>
      </c>
      <c r="E387" s="15" t="s">
        <v>29</v>
      </c>
      <c r="F387" s="15" t="str">
        <f>IF(Tabla15[[#This Row],[Columna1]]="","actividad","subactividad")</f>
        <v>subactividad</v>
      </c>
      <c r="G387" s="16"/>
      <c r="H387" s="19">
        <f t="shared" si="48"/>
        <v>46159</v>
      </c>
      <c r="I387" s="19">
        <f>IF(Tabla15[[#This Row],[Duracion ideal (dia)]]="",I386,Tabla15[[#This Row],[Inicio ideal]]+Tabla15[[#This Row],[Duracion ideal (dia)]])</f>
        <v>46159</v>
      </c>
      <c r="J387" s="16"/>
      <c r="K387" s="19">
        <f>IF(Tabla15[[#This Row],[Duracion Real (dia)]]="",K386,L386)</f>
        <v>46168</v>
      </c>
      <c r="L387" s="19">
        <f>IF(Tabla15[[#This Row],[Duracion Real (dia)]]="",L386,Tabla15[[#This Row],[Inicio Real]]+Tabla15[[#This Row],[Duracion Real (dia)]])</f>
        <v>46174</v>
      </c>
      <c r="M387" s="16"/>
      <c r="N387" s="19" t="s">
        <v>35</v>
      </c>
      <c r="O387" s="13" t="s">
        <v>35</v>
      </c>
      <c r="P387" s="13" t="s">
        <v>35</v>
      </c>
      <c r="Q387" s="13" t="s">
        <v>35</v>
      </c>
      <c r="R387" s="13" t="s">
        <v>35</v>
      </c>
      <c r="S387" s="13" t="s">
        <v>35</v>
      </c>
      <c r="T387" s="13" t="s">
        <v>35</v>
      </c>
    </row>
    <row r="388" spans="1:20" hidden="1">
      <c r="A388" s="9" t="str">
        <f t="shared" si="49"/>
        <v>3.1.3.7.4</v>
      </c>
      <c r="B388" s="9">
        <f t="shared" si="50"/>
        <v>4</v>
      </c>
      <c r="C388" s="10" t="s">
        <v>488</v>
      </c>
      <c r="D388" s="11" t="s">
        <v>422</v>
      </c>
      <c r="E388" s="11" t="s">
        <v>29</v>
      </c>
      <c r="F388" s="15" t="str">
        <f>IF(Tabla15[[#This Row],[Columna1]]="","actividad","subactividad")</f>
        <v>subactividad</v>
      </c>
      <c r="G388" s="12"/>
      <c r="H388" s="19">
        <f t="shared" si="48"/>
        <v>46159</v>
      </c>
      <c r="I388" s="19">
        <f>IF(Tabla15[[#This Row],[Duracion ideal (dia)]]="",I387,Tabla15[[#This Row],[Inicio ideal]]+Tabla15[[#This Row],[Duracion ideal (dia)]])</f>
        <v>46159</v>
      </c>
      <c r="J388" s="12"/>
      <c r="K388" s="19">
        <f>IF(Tabla15[[#This Row],[Duracion Real (dia)]]="",K387,L387)</f>
        <v>46168</v>
      </c>
      <c r="L388" s="19">
        <f>IF(Tabla15[[#This Row],[Duracion Real (dia)]]="",L387,Tabla15[[#This Row],[Inicio Real]]+Tabla15[[#This Row],[Duracion Real (dia)]])</f>
        <v>46174</v>
      </c>
      <c r="M388" s="12"/>
      <c r="N388" s="19" t="s">
        <v>35</v>
      </c>
      <c r="O388" s="13" t="s">
        <v>35</v>
      </c>
      <c r="P388" s="13" t="s">
        <v>35</v>
      </c>
      <c r="Q388" s="13" t="s">
        <v>35</v>
      </c>
      <c r="R388" s="13" t="s">
        <v>35</v>
      </c>
      <c r="S388" s="13" t="s">
        <v>35</v>
      </c>
      <c r="T388" s="13" t="s">
        <v>35</v>
      </c>
    </row>
    <row r="389" spans="1:20" hidden="1">
      <c r="A389" s="9" t="str">
        <f t="shared" si="49"/>
        <v>3.1.3.7.5</v>
      </c>
      <c r="B389" s="9">
        <f t="shared" si="50"/>
        <v>5</v>
      </c>
      <c r="C389" s="20" t="s">
        <v>489</v>
      </c>
      <c r="D389" s="15" t="s">
        <v>422</v>
      </c>
      <c r="E389" s="15" t="s">
        <v>29</v>
      </c>
      <c r="F389" s="15" t="str">
        <f>IF(Tabla15[[#This Row],[Columna1]]="","actividad","subactividad")</f>
        <v>subactividad</v>
      </c>
      <c r="G389" s="16"/>
      <c r="H389" s="19">
        <f t="shared" si="48"/>
        <v>46159</v>
      </c>
      <c r="I389" s="19">
        <f>IF(Tabla15[[#This Row],[Duracion ideal (dia)]]="",I388,Tabla15[[#This Row],[Inicio ideal]]+Tabla15[[#This Row],[Duracion ideal (dia)]])</f>
        <v>46159</v>
      </c>
      <c r="J389" s="16"/>
      <c r="K389" s="19">
        <f>IF(Tabla15[[#This Row],[Duracion Real (dia)]]="",K388,L388)</f>
        <v>46168</v>
      </c>
      <c r="L389" s="19">
        <f>IF(Tabla15[[#This Row],[Duracion Real (dia)]]="",L388,Tabla15[[#This Row],[Inicio Real]]+Tabla15[[#This Row],[Duracion Real (dia)]])</f>
        <v>46174</v>
      </c>
      <c r="M389" s="16"/>
      <c r="N389" s="19" t="s">
        <v>35</v>
      </c>
      <c r="O389" s="13" t="s">
        <v>35</v>
      </c>
      <c r="P389" s="13" t="s">
        <v>35</v>
      </c>
      <c r="Q389" s="13" t="s">
        <v>35</v>
      </c>
      <c r="R389" s="13" t="s">
        <v>35</v>
      </c>
      <c r="S389" s="13" t="s">
        <v>35</v>
      </c>
      <c r="T389" s="13" t="s">
        <v>35</v>
      </c>
    </row>
    <row r="390" spans="1:20" hidden="1">
      <c r="A390" s="9" t="str">
        <f t="shared" si="49"/>
        <v>3.1.3.7.6</v>
      </c>
      <c r="B390" s="9">
        <f t="shared" si="50"/>
        <v>6</v>
      </c>
      <c r="C390" s="10" t="s">
        <v>490</v>
      </c>
      <c r="D390" s="11" t="s">
        <v>422</v>
      </c>
      <c r="E390" s="11" t="s">
        <v>29</v>
      </c>
      <c r="F390" s="15" t="str">
        <f>IF(Tabla15[[#This Row],[Columna1]]="","actividad","subactividad")</f>
        <v>subactividad</v>
      </c>
      <c r="G390" s="12"/>
      <c r="H390" s="19">
        <f t="shared" si="48"/>
        <v>46159</v>
      </c>
      <c r="I390" s="19">
        <f>IF(Tabla15[[#This Row],[Duracion ideal (dia)]]="",I389,Tabla15[[#This Row],[Inicio ideal]]+Tabla15[[#This Row],[Duracion ideal (dia)]])</f>
        <v>46159</v>
      </c>
      <c r="J390" s="12"/>
      <c r="K390" s="19">
        <f>IF(Tabla15[[#This Row],[Duracion Real (dia)]]="",K389,L389)</f>
        <v>46168</v>
      </c>
      <c r="L390" s="19">
        <f>IF(Tabla15[[#This Row],[Duracion Real (dia)]]="",L389,Tabla15[[#This Row],[Inicio Real]]+Tabla15[[#This Row],[Duracion Real (dia)]])</f>
        <v>46174</v>
      </c>
      <c r="M390" s="12"/>
      <c r="N390" s="19" t="s">
        <v>35</v>
      </c>
      <c r="O390" s="13" t="s">
        <v>35</v>
      </c>
      <c r="P390" s="13" t="s">
        <v>35</v>
      </c>
      <c r="Q390" s="13" t="s">
        <v>35</v>
      </c>
      <c r="R390" s="13" t="s">
        <v>35</v>
      </c>
      <c r="S390" s="13" t="s">
        <v>35</v>
      </c>
      <c r="T390" s="13" t="s">
        <v>35</v>
      </c>
    </row>
    <row r="391" spans="1:20">
      <c r="A391" s="9" t="s">
        <v>491</v>
      </c>
      <c r="B391" s="9"/>
      <c r="C391" s="21" t="s">
        <v>492</v>
      </c>
      <c r="D391" s="15" t="s">
        <v>422</v>
      </c>
      <c r="E391" s="15" t="s">
        <v>29</v>
      </c>
      <c r="F391" s="15" t="str">
        <f>IF(Tabla15[[#This Row],[Columna1]]="","actividad","subactividad")</f>
        <v>actividad</v>
      </c>
      <c r="G391" s="16" t="s">
        <v>209</v>
      </c>
      <c r="H391" s="19">
        <f t="shared" si="48"/>
        <v>46159</v>
      </c>
      <c r="I391" s="19">
        <f>IF(Tabla15[[#This Row],[Duracion ideal (dia)]]="",I390,Tabla15[[#This Row],[Inicio ideal]]+Tabla15[[#This Row],[Duracion ideal (dia)]])</f>
        <v>46164</v>
      </c>
      <c r="J391" s="16">
        <v>5</v>
      </c>
      <c r="K391" s="19">
        <f>IF(Tabla15[[#This Row],[Duracion Real (dia)]]="",K390,L390)</f>
        <v>46174</v>
      </c>
      <c r="L391" s="19">
        <f>IF(Tabla15[[#This Row],[Duracion Real (dia)]]="",L390,Tabla15[[#This Row],[Inicio Real]]+Tabla15[[#This Row],[Duracion Real (dia)]])</f>
        <v>46179</v>
      </c>
      <c r="M391" s="16">
        <v>5</v>
      </c>
      <c r="N391" s="19" t="s">
        <v>88</v>
      </c>
      <c r="O391" s="13">
        <v>1240170.18</v>
      </c>
      <c r="P391" s="13">
        <v>6230.75</v>
      </c>
      <c r="Q391" s="13">
        <v>1246400.93</v>
      </c>
      <c r="R391" s="13">
        <v>1245939.43</v>
      </c>
      <c r="S391" s="13">
        <v>1612221.2339999999</v>
      </c>
      <c r="T391" s="13">
        <v>1612221.2339999999</v>
      </c>
    </row>
    <row r="392" spans="1:20" hidden="1">
      <c r="A392" s="9" t="str">
        <f>CONCATENATE($A$391,".",B392)</f>
        <v>3.1.3.8.1</v>
      </c>
      <c r="B392" s="9">
        <f>IF(B391=" ",1,B391+1)</f>
        <v>1</v>
      </c>
      <c r="C392" s="10" t="s">
        <v>493</v>
      </c>
      <c r="D392" s="11" t="s">
        <v>422</v>
      </c>
      <c r="E392" s="11" t="s">
        <v>29</v>
      </c>
      <c r="F392" s="15" t="str">
        <f>IF(Tabla15[[#This Row],[Columna1]]="","actividad","subactividad")</f>
        <v>subactividad</v>
      </c>
      <c r="G392" s="12"/>
      <c r="H392" s="19">
        <f t="shared" si="48"/>
        <v>46164</v>
      </c>
      <c r="I392" s="19">
        <f>IF(Tabla15[[#This Row],[Duracion ideal (dia)]]="",I391,Tabla15[[#This Row],[Inicio ideal]]+Tabla15[[#This Row],[Duracion ideal (dia)]])</f>
        <v>46164</v>
      </c>
      <c r="J392" s="12"/>
      <c r="K392" s="19">
        <f>IF(Tabla15[[#This Row],[Duracion Real (dia)]]="",K391,L391)</f>
        <v>46174</v>
      </c>
      <c r="L392" s="19">
        <f>IF(Tabla15[[#This Row],[Duracion Real (dia)]]="",L391,Tabla15[[#This Row],[Inicio Real]]+Tabla15[[#This Row],[Duracion Real (dia)]])</f>
        <v>46179</v>
      </c>
      <c r="M392" s="12"/>
      <c r="N392" s="19" t="s">
        <v>35</v>
      </c>
      <c r="O392" s="13" t="s">
        <v>35</v>
      </c>
      <c r="P392" s="13" t="s">
        <v>35</v>
      </c>
      <c r="Q392" s="13" t="s">
        <v>35</v>
      </c>
      <c r="R392" s="13" t="s">
        <v>35</v>
      </c>
      <c r="S392" s="13" t="s">
        <v>35</v>
      </c>
      <c r="T392" s="13" t="s">
        <v>35</v>
      </c>
    </row>
    <row r="393" spans="1:20" hidden="1">
      <c r="A393" s="9" t="str">
        <f>CONCATENATE($A$391,".",B393)</f>
        <v>3.1.3.8.2</v>
      </c>
      <c r="B393" s="9">
        <f>IF(B392=" ",1,B392+1)</f>
        <v>2</v>
      </c>
      <c r="C393" s="20" t="s">
        <v>494</v>
      </c>
      <c r="D393" s="15" t="s">
        <v>422</v>
      </c>
      <c r="E393" s="15" t="s">
        <v>29</v>
      </c>
      <c r="F393" s="15" t="str">
        <f>IF(Tabla15[[#This Row],[Columna1]]="","actividad","subactividad")</f>
        <v>subactividad</v>
      </c>
      <c r="G393" s="16"/>
      <c r="H393" s="19">
        <f t="shared" si="48"/>
        <v>46164</v>
      </c>
      <c r="I393" s="19">
        <f>IF(Tabla15[[#This Row],[Duracion ideal (dia)]]="",I392,Tabla15[[#This Row],[Inicio ideal]]+Tabla15[[#This Row],[Duracion ideal (dia)]])</f>
        <v>46164</v>
      </c>
      <c r="J393" s="16"/>
      <c r="K393" s="19">
        <f>IF(Tabla15[[#This Row],[Duracion Real (dia)]]="",K392,L392)</f>
        <v>46174</v>
      </c>
      <c r="L393" s="19">
        <f>IF(Tabla15[[#This Row],[Duracion Real (dia)]]="",L392,Tabla15[[#This Row],[Inicio Real]]+Tabla15[[#This Row],[Duracion Real (dia)]])</f>
        <v>46179</v>
      </c>
      <c r="M393" s="16"/>
      <c r="N393" s="19" t="s">
        <v>35</v>
      </c>
      <c r="O393" s="13" t="s">
        <v>35</v>
      </c>
      <c r="P393" s="13" t="s">
        <v>35</v>
      </c>
      <c r="Q393" s="13" t="s">
        <v>35</v>
      </c>
      <c r="R393" s="13" t="s">
        <v>35</v>
      </c>
      <c r="S393" s="13" t="s">
        <v>35</v>
      </c>
      <c r="T393" s="13" t="s">
        <v>35</v>
      </c>
    </row>
    <row r="394" spans="1:20" hidden="1">
      <c r="A394" s="9" t="str">
        <f>CONCATENATE($A$391,".",B394)</f>
        <v>3.1.3.8.3</v>
      </c>
      <c r="B394" s="9">
        <f>IF(B393=" ",1,B393+1)</f>
        <v>3</v>
      </c>
      <c r="C394" s="10" t="s">
        <v>495</v>
      </c>
      <c r="D394" s="11" t="s">
        <v>422</v>
      </c>
      <c r="E394" s="11" t="s">
        <v>29</v>
      </c>
      <c r="F394" s="15" t="str">
        <f>IF(Tabla15[[#This Row],[Columna1]]="","actividad","subactividad")</f>
        <v>subactividad</v>
      </c>
      <c r="G394" s="12"/>
      <c r="H394" s="19">
        <f t="shared" si="48"/>
        <v>46164</v>
      </c>
      <c r="I394" s="19">
        <f>IF(Tabla15[[#This Row],[Duracion ideal (dia)]]="",I393,Tabla15[[#This Row],[Inicio ideal]]+Tabla15[[#This Row],[Duracion ideal (dia)]])</f>
        <v>46164</v>
      </c>
      <c r="J394" s="12"/>
      <c r="K394" s="19">
        <f>IF(Tabla15[[#This Row],[Duracion Real (dia)]]="",K393,L393)</f>
        <v>46174</v>
      </c>
      <c r="L394" s="19">
        <f>IF(Tabla15[[#This Row],[Duracion Real (dia)]]="",L393,Tabla15[[#This Row],[Inicio Real]]+Tabla15[[#This Row],[Duracion Real (dia)]])</f>
        <v>46179</v>
      </c>
      <c r="M394" s="12"/>
      <c r="N394" s="19" t="s">
        <v>35</v>
      </c>
      <c r="O394" s="13" t="s">
        <v>35</v>
      </c>
      <c r="P394" s="13" t="s">
        <v>35</v>
      </c>
      <c r="Q394" s="13" t="s">
        <v>35</v>
      </c>
      <c r="R394" s="13" t="s">
        <v>35</v>
      </c>
      <c r="S394" s="13" t="s">
        <v>35</v>
      </c>
      <c r="T394" s="13" t="s">
        <v>35</v>
      </c>
    </row>
    <row r="395" spans="1:20" hidden="1">
      <c r="A395" s="9" t="str">
        <f>CONCATENATE($A$391,".",B395)</f>
        <v>3.1.3.8.4</v>
      </c>
      <c r="B395" s="9">
        <f>IF(B394=" ",1,B394+1)</f>
        <v>4</v>
      </c>
      <c r="C395" s="20" t="s">
        <v>496</v>
      </c>
      <c r="D395" s="15" t="s">
        <v>422</v>
      </c>
      <c r="E395" s="15" t="s">
        <v>29</v>
      </c>
      <c r="F395" s="15" t="str">
        <f>IF(Tabla15[[#This Row],[Columna1]]="","actividad","subactividad")</f>
        <v>subactividad</v>
      </c>
      <c r="G395" s="16"/>
      <c r="H395" s="19">
        <f t="shared" si="48"/>
        <v>46164</v>
      </c>
      <c r="I395" s="19">
        <f>IF(Tabla15[[#This Row],[Duracion ideal (dia)]]="",I394,Tabla15[[#This Row],[Inicio ideal]]+Tabla15[[#This Row],[Duracion ideal (dia)]])</f>
        <v>46164</v>
      </c>
      <c r="J395" s="16"/>
      <c r="K395" s="19">
        <f>IF(Tabla15[[#This Row],[Duracion Real (dia)]]="",K394,L394)</f>
        <v>46174</v>
      </c>
      <c r="L395" s="19">
        <f>IF(Tabla15[[#This Row],[Duracion Real (dia)]]="",L394,Tabla15[[#This Row],[Inicio Real]]+Tabla15[[#This Row],[Duracion Real (dia)]])</f>
        <v>46179</v>
      </c>
      <c r="M395" s="16"/>
      <c r="N395" s="19" t="s">
        <v>35</v>
      </c>
      <c r="O395" s="13" t="s">
        <v>35</v>
      </c>
      <c r="P395" s="13" t="s">
        <v>35</v>
      </c>
      <c r="Q395" s="13" t="s">
        <v>35</v>
      </c>
      <c r="R395" s="13" t="s">
        <v>35</v>
      </c>
      <c r="S395" s="13" t="s">
        <v>35</v>
      </c>
      <c r="T395" s="13" t="s">
        <v>35</v>
      </c>
    </row>
    <row r="396" spans="1:20">
      <c r="A396" s="9" t="s">
        <v>497</v>
      </c>
      <c r="B396" s="9"/>
      <c r="C396" s="22" t="s">
        <v>498</v>
      </c>
      <c r="D396" s="11" t="s">
        <v>422</v>
      </c>
      <c r="E396" s="11" t="s">
        <v>29</v>
      </c>
      <c r="F396" s="15" t="str">
        <f>IF(Tabla15[[#This Row],[Columna1]]="","actividad","subactividad")</f>
        <v>actividad</v>
      </c>
      <c r="G396" s="12" t="s">
        <v>209</v>
      </c>
      <c r="H396" s="19">
        <f t="shared" si="48"/>
        <v>46164</v>
      </c>
      <c r="I396" s="19">
        <f>IF(Tabla15[[#This Row],[Duracion ideal (dia)]]="",I395,Tabla15[[#This Row],[Inicio ideal]]+Tabla15[[#This Row],[Duracion ideal (dia)]])</f>
        <v>46172</v>
      </c>
      <c r="J396" s="12">
        <v>8</v>
      </c>
      <c r="K396" s="19">
        <f>IF(Tabla15[[#This Row],[Duracion Real (dia)]]="",K395,L395)</f>
        <v>46179</v>
      </c>
      <c r="L396" s="19">
        <f>IF(Tabla15[[#This Row],[Duracion Real (dia)]]="",L395,Tabla15[[#This Row],[Inicio Real]]+Tabla15[[#This Row],[Duracion Real (dia)]])</f>
        <v>46187</v>
      </c>
      <c r="M396" s="12">
        <v>8</v>
      </c>
      <c r="N396" s="19" t="s">
        <v>88</v>
      </c>
      <c r="O396" s="13">
        <v>1240170.18</v>
      </c>
      <c r="P396" s="13">
        <v>9969.2000000000007</v>
      </c>
      <c r="Q396" s="13">
        <v>1250139.3799999999</v>
      </c>
      <c r="R396" s="13">
        <v>1249400.98</v>
      </c>
      <c r="S396" s="13">
        <v>1612221.2339999999</v>
      </c>
      <c r="T396" s="13">
        <v>1612221.2339999999</v>
      </c>
    </row>
    <row r="397" spans="1:20" hidden="1">
      <c r="A397" s="9" t="str">
        <f>CONCATENATE($A$396,".",B397)</f>
        <v>3.1.3.9.1</v>
      </c>
      <c r="B397" s="9">
        <f>IF(B396=" ",1,B396+1)</f>
        <v>1</v>
      </c>
      <c r="C397" s="20" t="s">
        <v>499</v>
      </c>
      <c r="D397" s="15" t="s">
        <v>422</v>
      </c>
      <c r="E397" s="15" t="s">
        <v>29</v>
      </c>
      <c r="F397" s="15" t="str">
        <f>IF(Tabla15[[#This Row],[Columna1]]="","actividad","subactividad")</f>
        <v>subactividad</v>
      </c>
      <c r="G397" s="16"/>
      <c r="H397" s="19">
        <f t="shared" si="48"/>
        <v>46172</v>
      </c>
      <c r="I397" s="19">
        <f>IF(Tabla15[[#This Row],[Duracion ideal (dia)]]="",I396,Tabla15[[#This Row],[Inicio ideal]]+Tabla15[[#This Row],[Duracion ideal (dia)]])</f>
        <v>46172</v>
      </c>
      <c r="J397" s="16"/>
      <c r="K397" s="19">
        <f>IF(Tabla15[[#This Row],[Duracion Real (dia)]]="",K396,L396)</f>
        <v>46179</v>
      </c>
      <c r="L397" s="19">
        <f>IF(Tabla15[[#This Row],[Duracion Real (dia)]]="",L396,Tabla15[[#This Row],[Inicio Real]]+Tabla15[[#This Row],[Duracion Real (dia)]])</f>
        <v>46187</v>
      </c>
      <c r="M397" s="16"/>
      <c r="N397" s="19" t="s">
        <v>35</v>
      </c>
      <c r="O397" s="13" t="s">
        <v>35</v>
      </c>
      <c r="P397" s="13" t="s">
        <v>35</v>
      </c>
      <c r="Q397" s="13" t="s">
        <v>35</v>
      </c>
      <c r="R397" s="13" t="s">
        <v>35</v>
      </c>
      <c r="S397" s="13" t="s">
        <v>35</v>
      </c>
      <c r="T397" s="13" t="s">
        <v>35</v>
      </c>
    </row>
    <row r="398" spans="1:20" hidden="1">
      <c r="A398" s="9" t="str">
        <f>CONCATENATE($A$396,".",B398)</f>
        <v>3.1.3.9.2</v>
      </c>
      <c r="B398" s="9">
        <f>IF(B397=" ",1,B397+1)</f>
        <v>2</v>
      </c>
      <c r="C398" s="10" t="s">
        <v>500</v>
      </c>
      <c r="D398" s="11" t="s">
        <v>422</v>
      </c>
      <c r="E398" s="11" t="s">
        <v>29</v>
      </c>
      <c r="F398" s="15" t="str">
        <f>IF(Tabla15[[#This Row],[Columna1]]="","actividad","subactividad")</f>
        <v>subactividad</v>
      </c>
      <c r="G398" s="12"/>
      <c r="H398" s="19">
        <f t="shared" si="48"/>
        <v>46172</v>
      </c>
      <c r="I398" s="19">
        <f>IF(Tabla15[[#This Row],[Duracion ideal (dia)]]="",I397,Tabla15[[#This Row],[Inicio ideal]]+Tabla15[[#This Row],[Duracion ideal (dia)]])</f>
        <v>46172</v>
      </c>
      <c r="J398" s="12"/>
      <c r="K398" s="19">
        <f>IF(Tabla15[[#This Row],[Duracion Real (dia)]]="",K397,L397)</f>
        <v>46179</v>
      </c>
      <c r="L398" s="19">
        <f>IF(Tabla15[[#This Row],[Duracion Real (dia)]]="",L397,Tabla15[[#This Row],[Inicio Real]]+Tabla15[[#This Row],[Duracion Real (dia)]])</f>
        <v>46187</v>
      </c>
      <c r="M398" s="12"/>
      <c r="N398" s="19" t="s">
        <v>35</v>
      </c>
      <c r="O398" s="13" t="s">
        <v>35</v>
      </c>
      <c r="P398" s="13" t="s">
        <v>35</v>
      </c>
      <c r="Q398" s="13" t="s">
        <v>35</v>
      </c>
      <c r="R398" s="13" t="s">
        <v>35</v>
      </c>
      <c r="S398" s="13" t="s">
        <v>35</v>
      </c>
      <c r="T398" s="13" t="s">
        <v>35</v>
      </c>
    </row>
    <row r="399" spans="1:20" hidden="1">
      <c r="A399" s="9" t="str">
        <f>CONCATENATE($A$396,".",B399)</f>
        <v>3.1.3.9.3</v>
      </c>
      <c r="B399" s="9">
        <f>IF(B398=" ",1,B398+1)</f>
        <v>3</v>
      </c>
      <c r="C399" s="20" t="s">
        <v>501</v>
      </c>
      <c r="D399" s="15" t="s">
        <v>422</v>
      </c>
      <c r="E399" s="15" t="s">
        <v>29</v>
      </c>
      <c r="F399" s="15" t="str">
        <f>IF(Tabla15[[#This Row],[Columna1]]="","actividad","subactividad")</f>
        <v>subactividad</v>
      </c>
      <c r="G399" s="16"/>
      <c r="H399" s="19">
        <f t="shared" si="48"/>
        <v>46172</v>
      </c>
      <c r="I399" s="19">
        <f>IF(Tabla15[[#This Row],[Duracion ideal (dia)]]="",I398,Tabla15[[#This Row],[Inicio ideal]]+Tabla15[[#This Row],[Duracion ideal (dia)]])</f>
        <v>46172</v>
      </c>
      <c r="J399" s="16"/>
      <c r="K399" s="19">
        <f>IF(Tabla15[[#This Row],[Duracion Real (dia)]]="",K398,L398)</f>
        <v>46179</v>
      </c>
      <c r="L399" s="19">
        <f>IF(Tabla15[[#This Row],[Duracion Real (dia)]]="",L398,Tabla15[[#This Row],[Inicio Real]]+Tabla15[[#This Row],[Duracion Real (dia)]])</f>
        <v>46187</v>
      </c>
      <c r="M399" s="16"/>
      <c r="N399" s="19" t="s">
        <v>35</v>
      </c>
      <c r="O399" s="13" t="s">
        <v>35</v>
      </c>
      <c r="P399" s="13" t="s">
        <v>35</v>
      </c>
      <c r="Q399" s="13" t="s">
        <v>35</v>
      </c>
      <c r="R399" s="13" t="s">
        <v>35</v>
      </c>
      <c r="S399" s="13" t="s">
        <v>35</v>
      </c>
      <c r="T399" s="13" t="s">
        <v>35</v>
      </c>
    </row>
    <row r="400" spans="1:20" hidden="1">
      <c r="A400" s="9" t="str">
        <f>CONCATENATE($A$396,".",B400)</f>
        <v>3.1.3.9.4</v>
      </c>
      <c r="B400" s="9">
        <f>IF(B399=" ",1,B399+1)</f>
        <v>4</v>
      </c>
      <c r="C400" s="10" t="s">
        <v>502</v>
      </c>
      <c r="D400" s="11" t="s">
        <v>422</v>
      </c>
      <c r="E400" s="11" t="s">
        <v>29</v>
      </c>
      <c r="F400" s="15" t="str">
        <f>IF(Tabla15[[#This Row],[Columna1]]="","actividad","subactividad")</f>
        <v>subactividad</v>
      </c>
      <c r="G400" s="12"/>
      <c r="H400" s="19">
        <f t="shared" si="48"/>
        <v>46172</v>
      </c>
      <c r="I400" s="19">
        <f>IF(Tabla15[[#This Row],[Duracion ideal (dia)]]="",I399,Tabla15[[#This Row],[Inicio ideal]]+Tabla15[[#This Row],[Duracion ideal (dia)]])</f>
        <v>46172</v>
      </c>
      <c r="J400" s="12"/>
      <c r="K400" s="19">
        <f>IF(Tabla15[[#This Row],[Duracion Real (dia)]]="",K399,L399)</f>
        <v>46179</v>
      </c>
      <c r="L400" s="19">
        <f>IF(Tabla15[[#This Row],[Duracion Real (dia)]]="",L399,Tabla15[[#This Row],[Inicio Real]]+Tabla15[[#This Row],[Duracion Real (dia)]])</f>
        <v>46187</v>
      </c>
      <c r="M400" s="12"/>
      <c r="N400" s="19" t="s">
        <v>35</v>
      </c>
      <c r="O400" s="13" t="s">
        <v>35</v>
      </c>
      <c r="P400" s="13" t="s">
        <v>35</v>
      </c>
      <c r="Q400" s="13" t="s">
        <v>35</v>
      </c>
      <c r="R400" s="13" t="s">
        <v>35</v>
      </c>
      <c r="S400" s="13" t="s">
        <v>35</v>
      </c>
      <c r="T400" s="13" t="s">
        <v>35</v>
      </c>
    </row>
    <row r="401" spans="1:20">
      <c r="A401" s="9" t="s">
        <v>503</v>
      </c>
      <c r="B401" s="9"/>
      <c r="C401" s="21" t="s">
        <v>504</v>
      </c>
      <c r="D401" s="15" t="s">
        <v>422</v>
      </c>
      <c r="E401" s="15" t="s">
        <v>29</v>
      </c>
      <c r="F401" s="15" t="str">
        <f>IF(Tabla15[[#This Row],[Columna1]]="","actividad","subactividad")</f>
        <v>actividad</v>
      </c>
      <c r="G401" s="16" t="s">
        <v>209</v>
      </c>
      <c r="H401" s="19">
        <f t="shared" si="48"/>
        <v>46172</v>
      </c>
      <c r="I401" s="19">
        <f>IF(Tabla15[[#This Row],[Duracion ideal (dia)]]="",I400,Tabla15[[#This Row],[Inicio ideal]]+Tabla15[[#This Row],[Duracion ideal (dia)]])</f>
        <v>46177</v>
      </c>
      <c r="J401" s="16">
        <v>5</v>
      </c>
      <c r="K401" s="19">
        <f>IF(Tabla15[[#This Row],[Duracion Real (dia)]]="",K400,L400)</f>
        <v>46187</v>
      </c>
      <c r="L401" s="19">
        <f>IF(Tabla15[[#This Row],[Duracion Real (dia)]]="",L400,Tabla15[[#This Row],[Inicio Real]]+Tabla15[[#This Row],[Duracion Real (dia)]])</f>
        <v>46192</v>
      </c>
      <c r="M401" s="16">
        <v>5</v>
      </c>
      <c r="N401" s="19" t="s">
        <v>60</v>
      </c>
      <c r="O401" s="13">
        <v>992016.14</v>
      </c>
      <c r="P401" s="13">
        <v>6923.0999999999995</v>
      </c>
      <c r="Q401" s="13">
        <v>998939.24</v>
      </c>
      <c r="R401" s="13">
        <v>1001241.89</v>
      </c>
      <c r="S401" s="13">
        <v>1289620.9820000001</v>
      </c>
      <c r="T401" s="13">
        <v>1289620.9820000001</v>
      </c>
    </row>
    <row r="402" spans="1:20" hidden="1">
      <c r="A402" s="9" t="str">
        <f>CONCATENATE($A$401,".",B402)</f>
        <v>3.1.3.10.1</v>
      </c>
      <c r="B402" s="9">
        <f>IF(B401=" ",1,B401+1)</f>
        <v>1</v>
      </c>
      <c r="C402" s="10" t="s">
        <v>505</v>
      </c>
      <c r="D402" s="11" t="s">
        <v>422</v>
      </c>
      <c r="E402" s="11" t="s">
        <v>29</v>
      </c>
      <c r="F402" s="15" t="str">
        <f>IF(Tabla15[[#This Row],[Columna1]]="","actividad","subactividad")</f>
        <v>subactividad</v>
      </c>
      <c r="G402" s="12"/>
      <c r="H402" s="19">
        <f t="shared" si="48"/>
        <v>46177</v>
      </c>
      <c r="I402" s="19">
        <f>IF(Tabla15[[#This Row],[Duracion ideal (dia)]]="",I401,Tabla15[[#This Row],[Inicio ideal]]+Tabla15[[#This Row],[Duracion ideal (dia)]])</f>
        <v>46177</v>
      </c>
      <c r="J402" s="12"/>
      <c r="K402" s="19">
        <f>IF(Tabla15[[#This Row],[Duracion Real (dia)]]="",K401,L401)</f>
        <v>46187</v>
      </c>
      <c r="L402" s="19">
        <f>IF(Tabla15[[#This Row],[Duracion Real (dia)]]="",L401,Tabla15[[#This Row],[Inicio Real]]+Tabla15[[#This Row],[Duracion Real (dia)]])</f>
        <v>46192</v>
      </c>
      <c r="M402" s="12"/>
      <c r="N402" s="19" t="s">
        <v>35</v>
      </c>
      <c r="O402" s="13" t="s">
        <v>35</v>
      </c>
      <c r="P402" s="13" t="s">
        <v>35</v>
      </c>
      <c r="Q402" s="13" t="s">
        <v>35</v>
      </c>
      <c r="R402" s="13" t="s">
        <v>35</v>
      </c>
      <c r="S402" s="13" t="s">
        <v>35</v>
      </c>
      <c r="T402" s="13" t="s">
        <v>35</v>
      </c>
    </row>
    <row r="403" spans="1:20" hidden="1">
      <c r="A403" s="9" t="str">
        <f>CONCATENATE($A$401,".",B403)</f>
        <v>3.1.3.10.2</v>
      </c>
      <c r="B403" s="9">
        <f>IF(B402=" ",1,B402+1)</f>
        <v>2</v>
      </c>
      <c r="C403" s="20" t="s">
        <v>506</v>
      </c>
      <c r="D403" s="15" t="s">
        <v>422</v>
      </c>
      <c r="E403" s="15" t="s">
        <v>29</v>
      </c>
      <c r="F403" s="15" t="str">
        <f>IF(Tabla15[[#This Row],[Columna1]]="","actividad","subactividad")</f>
        <v>subactividad</v>
      </c>
      <c r="G403" s="16"/>
      <c r="H403" s="19">
        <f t="shared" si="48"/>
        <v>46177</v>
      </c>
      <c r="I403" s="19">
        <f>IF(Tabla15[[#This Row],[Duracion ideal (dia)]]="",I402,Tabla15[[#This Row],[Inicio ideal]]+Tabla15[[#This Row],[Duracion ideal (dia)]])</f>
        <v>46177</v>
      </c>
      <c r="J403" s="16"/>
      <c r="K403" s="19">
        <f>IF(Tabla15[[#This Row],[Duracion Real (dia)]]="",K402,L402)</f>
        <v>46187</v>
      </c>
      <c r="L403" s="19">
        <f>IF(Tabla15[[#This Row],[Duracion Real (dia)]]="",L402,Tabla15[[#This Row],[Inicio Real]]+Tabla15[[#This Row],[Duracion Real (dia)]])</f>
        <v>46192</v>
      </c>
      <c r="M403" s="16"/>
      <c r="N403" s="19" t="s">
        <v>35</v>
      </c>
      <c r="O403" s="13" t="s">
        <v>35</v>
      </c>
      <c r="P403" s="13" t="s">
        <v>35</v>
      </c>
      <c r="Q403" s="13" t="s">
        <v>35</v>
      </c>
      <c r="R403" s="13" t="s">
        <v>35</v>
      </c>
      <c r="S403" s="13" t="s">
        <v>35</v>
      </c>
      <c r="T403" s="13" t="s">
        <v>35</v>
      </c>
    </row>
    <row r="404" spans="1:20" hidden="1">
      <c r="A404" s="9" t="str">
        <f>CONCATENATE($A$401,".",B404)</f>
        <v>3.1.3.10.3</v>
      </c>
      <c r="B404" s="9">
        <f>IF(B403=" ",1,B403+1)</f>
        <v>3</v>
      </c>
      <c r="C404" s="10" t="s">
        <v>507</v>
      </c>
      <c r="D404" s="11" t="s">
        <v>422</v>
      </c>
      <c r="E404" s="11" t="s">
        <v>29</v>
      </c>
      <c r="F404" s="15" t="str">
        <f>IF(Tabla15[[#This Row],[Columna1]]="","actividad","subactividad")</f>
        <v>subactividad</v>
      </c>
      <c r="G404" s="12"/>
      <c r="H404" s="19">
        <f t="shared" si="48"/>
        <v>46177</v>
      </c>
      <c r="I404" s="19">
        <f>IF(Tabla15[[#This Row],[Duracion ideal (dia)]]="",I403,Tabla15[[#This Row],[Inicio ideal]]+Tabla15[[#This Row],[Duracion ideal (dia)]])</f>
        <v>46177</v>
      </c>
      <c r="J404" s="12"/>
      <c r="K404" s="19">
        <f>IF(Tabla15[[#This Row],[Duracion Real (dia)]]="",K403,L403)</f>
        <v>46187</v>
      </c>
      <c r="L404" s="19">
        <f>IF(Tabla15[[#This Row],[Duracion Real (dia)]]="",L403,Tabla15[[#This Row],[Inicio Real]]+Tabla15[[#This Row],[Duracion Real (dia)]])</f>
        <v>46192</v>
      </c>
      <c r="M404" s="12"/>
      <c r="N404" s="19" t="s">
        <v>35</v>
      </c>
      <c r="O404" s="13" t="s">
        <v>35</v>
      </c>
      <c r="P404" s="13" t="s">
        <v>35</v>
      </c>
      <c r="Q404" s="13" t="s">
        <v>35</v>
      </c>
      <c r="R404" s="13" t="s">
        <v>35</v>
      </c>
      <c r="S404" s="13" t="s">
        <v>35</v>
      </c>
      <c r="T404" s="13" t="s">
        <v>35</v>
      </c>
    </row>
    <row r="405" spans="1:20" hidden="1">
      <c r="A405" s="9" t="str">
        <f>CONCATENATE($A$401,".",B405)</f>
        <v>3.1.3.10.4</v>
      </c>
      <c r="B405" s="9">
        <f>IF(B404=" ",1,B404+1)</f>
        <v>4</v>
      </c>
      <c r="C405" s="20" t="s">
        <v>508</v>
      </c>
      <c r="D405" s="15" t="s">
        <v>422</v>
      </c>
      <c r="E405" s="15" t="s">
        <v>29</v>
      </c>
      <c r="F405" s="15" t="str">
        <f>IF(Tabla15[[#This Row],[Columna1]]="","actividad","subactividad")</f>
        <v>subactividad</v>
      </c>
      <c r="G405" s="16"/>
      <c r="H405" s="19">
        <f t="shared" si="48"/>
        <v>46177</v>
      </c>
      <c r="I405" s="19">
        <f>IF(Tabla15[[#This Row],[Duracion ideal (dia)]]="",I404,Tabla15[[#This Row],[Inicio ideal]]+Tabla15[[#This Row],[Duracion ideal (dia)]])</f>
        <v>46177</v>
      </c>
      <c r="J405" s="16"/>
      <c r="K405" s="19">
        <f>IF(Tabla15[[#This Row],[Duracion Real (dia)]]="",K404,L404)</f>
        <v>46187</v>
      </c>
      <c r="L405" s="19">
        <f>IF(Tabla15[[#This Row],[Duracion Real (dia)]]="",L404,Tabla15[[#This Row],[Inicio Real]]+Tabla15[[#This Row],[Duracion Real (dia)]])</f>
        <v>46192</v>
      </c>
      <c r="M405" s="16"/>
      <c r="N405" s="19" t="s">
        <v>35</v>
      </c>
      <c r="O405" s="13" t="s">
        <v>35</v>
      </c>
      <c r="P405" s="13" t="s">
        <v>35</v>
      </c>
      <c r="Q405" s="13" t="s">
        <v>35</v>
      </c>
      <c r="R405" s="13" t="s">
        <v>35</v>
      </c>
      <c r="S405" s="13" t="s">
        <v>35</v>
      </c>
      <c r="T405" s="13" t="s">
        <v>35</v>
      </c>
    </row>
    <row r="406" spans="1:20" hidden="1">
      <c r="A406" s="9" t="str">
        <f>CONCATENATE($A$401,".",B406)</f>
        <v>3.1.3.10.5</v>
      </c>
      <c r="B406" s="9">
        <f>IF(B405=" ",1,B405+1)</f>
        <v>5</v>
      </c>
      <c r="C406" s="10" t="s">
        <v>509</v>
      </c>
      <c r="D406" s="11" t="s">
        <v>422</v>
      </c>
      <c r="E406" s="11" t="s">
        <v>29</v>
      </c>
      <c r="F406" s="15" t="str">
        <f>IF(Tabla15[[#This Row],[Columna1]]="","actividad","subactividad")</f>
        <v>subactividad</v>
      </c>
      <c r="G406" s="12"/>
      <c r="H406" s="19">
        <f t="shared" si="48"/>
        <v>46177</v>
      </c>
      <c r="I406" s="19">
        <f>IF(Tabla15[[#This Row],[Duracion ideal (dia)]]="",I405,Tabla15[[#This Row],[Inicio ideal]]+Tabla15[[#This Row],[Duracion ideal (dia)]])</f>
        <v>46177</v>
      </c>
      <c r="J406" s="12"/>
      <c r="K406" s="19">
        <f>IF(Tabla15[[#This Row],[Duracion Real (dia)]]="",K405,L405)</f>
        <v>46187</v>
      </c>
      <c r="L406" s="19">
        <f>IF(Tabla15[[#This Row],[Duracion Real (dia)]]="",L405,Tabla15[[#This Row],[Inicio Real]]+Tabla15[[#This Row],[Duracion Real (dia)]])</f>
        <v>46192</v>
      </c>
      <c r="M406" s="12"/>
      <c r="N406" s="19" t="s">
        <v>35</v>
      </c>
      <c r="O406" s="13" t="s">
        <v>35</v>
      </c>
      <c r="P406" s="13" t="s">
        <v>35</v>
      </c>
      <c r="Q406" s="13" t="s">
        <v>35</v>
      </c>
      <c r="R406" s="13" t="s">
        <v>35</v>
      </c>
      <c r="S406" s="13" t="s">
        <v>35</v>
      </c>
      <c r="T406" s="13" t="s">
        <v>35</v>
      </c>
    </row>
    <row r="407" spans="1:20">
      <c r="A407" s="9" t="s">
        <v>510</v>
      </c>
      <c r="B407" s="9"/>
      <c r="C407" s="21" t="s">
        <v>511</v>
      </c>
      <c r="D407" s="15" t="s">
        <v>422</v>
      </c>
      <c r="E407" s="15" t="s">
        <v>29</v>
      </c>
      <c r="F407" s="15" t="str">
        <f>IF(Tabla15[[#This Row],[Columna1]]="","actividad","subactividad")</f>
        <v>actividad</v>
      </c>
      <c r="G407" s="16" t="s">
        <v>209</v>
      </c>
      <c r="H407" s="19">
        <f t="shared" si="48"/>
        <v>46177</v>
      </c>
      <c r="I407" s="19">
        <f>IF(Tabla15[[#This Row],[Duracion ideal (dia)]]="",I406,Tabla15[[#This Row],[Inicio ideal]]+Tabla15[[#This Row],[Duracion ideal (dia)]])</f>
        <v>46183</v>
      </c>
      <c r="J407" s="16">
        <v>6</v>
      </c>
      <c r="K407" s="19">
        <f>IF(Tabla15[[#This Row],[Duracion Real (dia)]]="",K406,L406)</f>
        <v>46192</v>
      </c>
      <c r="L407" s="19">
        <f>IF(Tabla15[[#This Row],[Duracion Real (dia)]]="",L406,Tabla15[[#This Row],[Inicio Real]]+Tabla15[[#This Row],[Duracion Real (dia)]])</f>
        <v>46198</v>
      </c>
      <c r="M407" s="16">
        <v>6</v>
      </c>
      <c r="N407" s="19" t="s">
        <v>160</v>
      </c>
      <c r="O407" s="13">
        <v>100170.18</v>
      </c>
      <c r="P407" s="13">
        <v>6923.0999999999995</v>
      </c>
      <c r="Q407" s="13">
        <v>107093.28</v>
      </c>
      <c r="R407" s="13">
        <v>108477.9</v>
      </c>
      <c r="S407" s="13">
        <v>130221.234</v>
      </c>
      <c r="T407" s="13">
        <v>130221.234</v>
      </c>
    </row>
    <row r="408" spans="1:20" hidden="1">
      <c r="A408" s="9" t="str">
        <f>CONCATENATE($A$407,".",B408)</f>
        <v>3.1.3.11.1</v>
      </c>
      <c r="B408" s="9">
        <f>IF(B407=" ",1,B407+1)</f>
        <v>1</v>
      </c>
      <c r="C408" s="10" t="s">
        <v>512</v>
      </c>
      <c r="D408" s="11" t="s">
        <v>422</v>
      </c>
      <c r="E408" s="11" t="s">
        <v>29</v>
      </c>
      <c r="F408" s="15" t="str">
        <f>IF(Tabla15[[#This Row],[Columna1]]="","actividad","subactividad")</f>
        <v>subactividad</v>
      </c>
      <c r="G408" s="12"/>
      <c r="H408" s="19">
        <f t="shared" si="48"/>
        <v>46183</v>
      </c>
      <c r="I408" s="19">
        <f>IF(Tabla15[[#This Row],[Duracion ideal (dia)]]="",I407,Tabla15[[#This Row],[Inicio ideal]]+Tabla15[[#This Row],[Duracion ideal (dia)]])</f>
        <v>46183</v>
      </c>
      <c r="J408" s="12"/>
      <c r="K408" s="19">
        <f>IF(Tabla15[[#This Row],[Duracion Real (dia)]]="",K407,L407)</f>
        <v>46192</v>
      </c>
      <c r="L408" s="19">
        <f>IF(Tabla15[[#This Row],[Duracion Real (dia)]]="",L407,Tabla15[[#This Row],[Inicio Real]]+Tabla15[[#This Row],[Duracion Real (dia)]])</f>
        <v>46198</v>
      </c>
      <c r="M408" s="12"/>
      <c r="N408" s="19" t="s">
        <v>35</v>
      </c>
      <c r="O408" s="13" t="s">
        <v>35</v>
      </c>
      <c r="P408" s="13" t="s">
        <v>35</v>
      </c>
      <c r="Q408" s="13" t="s">
        <v>35</v>
      </c>
      <c r="R408" s="13" t="s">
        <v>35</v>
      </c>
      <c r="S408" s="13" t="s">
        <v>35</v>
      </c>
      <c r="T408" s="13" t="s">
        <v>35</v>
      </c>
    </row>
    <row r="409" spans="1:20">
      <c r="A409" s="9" t="s">
        <v>513</v>
      </c>
      <c r="B409" s="9"/>
      <c r="C409" s="21" t="s">
        <v>514</v>
      </c>
      <c r="D409" s="15" t="s">
        <v>422</v>
      </c>
      <c r="E409" s="15" t="s">
        <v>29</v>
      </c>
      <c r="F409" s="15" t="str">
        <f>IF(Tabla15[[#This Row],[Columna1]]="","actividad","subactividad")</f>
        <v>actividad</v>
      </c>
      <c r="G409" s="16" t="s">
        <v>209</v>
      </c>
      <c r="H409" s="19">
        <f t="shared" si="48"/>
        <v>46183</v>
      </c>
      <c r="I409" s="19">
        <f>IF(Tabla15[[#This Row],[Duracion ideal (dia)]]="",I408,Tabla15[[#This Row],[Inicio ideal]]+Tabla15[[#This Row],[Duracion ideal (dia)]])</f>
        <v>46190</v>
      </c>
      <c r="J409" s="16">
        <v>7</v>
      </c>
      <c r="K409" s="19">
        <f>IF(Tabla15[[#This Row],[Duracion Real (dia)]]="",K408,L408)</f>
        <v>46198</v>
      </c>
      <c r="L409" s="19">
        <f>IF(Tabla15[[#This Row],[Duracion Real (dia)]]="",L408,Tabla15[[#This Row],[Inicio Real]]+Tabla15[[#This Row],[Duracion Real (dia)]])</f>
        <v>46205</v>
      </c>
      <c r="M409" s="16">
        <v>7</v>
      </c>
      <c r="N409" s="19" t="s">
        <v>69</v>
      </c>
      <c r="O409" s="13">
        <v>992016.14</v>
      </c>
      <c r="P409" s="13">
        <v>8723.0500000000011</v>
      </c>
      <c r="Q409" s="13">
        <v>1000739.1900000001</v>
      </c>
      <c r="R409" s="13">
        <v>1003323.8</v>
      </c>
      <c r="S409" s="13">
        <v>1289620.9820000001</v>
      </c>
      <c r="T409" s="13">
        <v>1289620.9820000001</v>
      </c>
    </row>
    <row r="410" spans="1:20" hidden="1">
      <c r="A410" s="9" t="str">
        <f>CONCATENATE($A$409,".",B410)</f>
        <v>3.1.3.12.1</v>
      </c>
      <c r="B410" s="9">
        <f>IF(B409=" ",1,B409+1)</f>
        <v>1</v>
      </c>
      <c r="C410" s="10" t="s">
        <v>515</v>
      </c>
      <c r="D410" s="11" t="s">
        <v>422</v>
      </c>
      <c r="E410" s="11" t="s">
        <v>29</v>
      </c>
      <c r="F410" s="15" t="str">
        <f>IF(Tabla15[[#This Row],[Columna1]]="","actividad","subactividad")</f>
        <v>subactividad</v>
      </c>
      <c r="G410" s="12"/>
      <c r="H410" s="19">
        <f t="shared" si="48"/>
        <v>46190</v>
      </c>
      <c r="I410" s="19">
        <f>IF(Tabla15[[#This Row],[Duracion ideal (dia)]]="",I409,Tabla15[[#This Row],[Inicio ideal]]+Tabla15[[#This Row],[Duracion ideal (dia)]])</f>
        <v>46190</v>
      </c>
      <c r="J410" s="12"/>
      <c r="K410" s="19">
        <f>IF(Tabla15[[#This Row],[Duracion Real (dia)]]="",K409,L409)</f>
        <v>46198</v>
      </c>
      <c r="L410" s="19">
        <f>IF(Tabla15[[#This Row],[Duracion Real (dia)]]="",L409,Tabla15[[#This Row],[Inicio Real]]+Tabla15[[#This Row],[Duracion Real (dia)]])</f>
        <v>46205</v>
      </c>
      <c r="M410" s="12"/>
      <c r="N410" s="19" t="s">
        <v>35</v>
      </c>
      <c r="O410" s="13" t="s">
        <v>35</v>
      </c>
      <c r="P410" s="13" t="s">
        <v>35</v>
      </c>
      <c r="Q410" s="13" t="s">
        <v>35</v>
      </c>
      <c r="R410" s="13" t="s">
        <v>35</v>
      </c>
      <c r="S410" s="13" t="s">
        <v>35</v>
      </c>
      <c r="T410" s="13" t="s">
        <v>35</v>
      </c>
    </row>
    <row r="411" spans="1:20">
      <c r="A411" s="9" t="s">
        <v>516</v>
      </c>
      <c r="B411" s="9"/>
      <c r="C411" s="21" t="s">
        <v>517</v>
      </c>
      <c r="D411" s="15" t="s">
        <v>422</v>
      </c>
      <c r="E411" s="15" t="s">
        <v>29</v>
      </c>
      <c r="F411" s="15" t="str">
        <f>IF(Tabla15[[#This Row],[Columna1]]="","actividad","subactividad")</f>
        <v>actividad</v>
      </c>
      <c r="G411" s="16" t="s">
        <v>209</v>
      </c>
      <c r="H411" s="19">
        <f t="shared" si="48"/>
        <v>46190</v>
      </c>
      <c r="I411" s="19">
        <f>IF(Tabla15[[#This Row],[Duracion ideal (dia)]]="",I410,Tabla15[[#This Row],[Inicio ideal]]+Tabla15[[#This Row],[Duracion ideal (dia)]])</f>
        <v>46197</v>
      </c>
      <c r="J411" s="16">
        <v>7</v>
      </c>
      <c r="K411" s="19">
        <f>IF(Tabla15[[#This Row],[Duracion Real (dia)]]="",K410,L410)</f>
        <v>46205</v>
      </c>
      <c r="L411" s="19">
        <f>IF(Tabla15[[#This Row],[Duracion Real (dia)]]="",L410,Tabla15[[#This Row],[Inicio Real]]+Tabla15[[#This Row],[Duracion Real (dia)]])</f>
        <v>46212</v>
      </c>
      <c r="M411" s="16">
        <v>7</v>
      </c>
      <c r="N411" s="19" t="s">
        <v>60</v>
      </c>
      <c r="O411" s="13">
        <v>743912.11</v>
      </c>
      <c r="P411" s="13">
        <v>8076.9499999999989</v>
      </c>
      <c r="Q411" s="13">
        <v>751989.05999999994</v>
      </c>
      <c r="R411" s="13">
        <v>756828.16000000003</v>
      </c>
      <c r="S411" s="13">
        <v>967085.74300000002</v>
      </c>
      <c r="T411" s="13">
        <v>967085.74300000002</v>
      </c>
    </row>
    <row r="412" spans="1:20" hidden="1">
      <c r="A412" s="9" t="str">
        <f>CONCATENATE($A$411,".",B412)</f>
        <v>3.1.3.13.1</v>
      </c>
      <c r="B412" s="9">
        <f>IF(B411=" ",1,B411+1)</f>
        <v>1</v>
      </c>
      <c r="C412" s="10" t="s">
        <v>518</v>
      </c>
      <c r="D412" s="11" t="s">
        <v>422</v>
      </c>
      <c r="E412" s="11" t="s">
        <v>29</v>
      </c>
      <c r="F412" s="15" t="str">
        <f>IF(Tabla15[[#This Row],[Columna1]]="","actividad","subactividad")</f>
        <v>subactividad</v>
      </c>
      <c r="G412" s="12"/>
      <c r="H412" s="19">
        <f t="shared" si="48"/>
        <v>46197</v>
      </c>
      <c r="I412" s="19">
        <f>IF(Tabla15[[#This Row],[Duracion ideal (dia)]]="",I411,Tabla15[[#This Row],[Inicio ideal]]+Tabla15[[#This Row],[Duracion ideal (dia)]])</f>
        <v>46197</v>
      </c>
      <c r="J412" s="12"/>
      <c r="K412" s="19">
        <f>IF(Tabla15[[#This Row],[Duracion Real (dia)]]="",K411,L411)</f>
        <v>46205</v>
      </c>
      <c r="L412" s="19">
        <f>IF(Tabla15[[#This Row],[Duracion Real (dia)]]="",L411,Tabla15[[#This Row],[Inicio Real]]+Tabla15[[#This Row],[Duracion Real (dia)]])</f>
        <v>46212</v>
      </c>
      <c r="M412" s="12"/>
      <c r="N412" s="19" t="s">
        <v>35</v>
      </c>
      <c r="O412" s="13" t="s">
        <v>35</v>
      </c>
      <c r="P412" s="13" t="s">
        <v>35</v>
      </c>
      <c r="Q412" s="13" t="s">
        <v>35</v>
      </c>
      <c r="R412" s="13" t="s">
        <v>35</v>
      </c>
      <c r="S412" s="13" t="s">
        <v>35</v>
      </c>
      <c r="T412" s="13" t="s">
        <v>35</v>
      </c>
    </row>
    <row r="413" spans="1:20" hidden="1">
      <c r="A413" s="9" t="str">
        <f>CONCATENATE($A$411,".",B413)</f>
        <v>3.1.3.13.2</v>
      </c>
      <c r="B413" s="9">
        <f>IF(B412=" ",1,B412+1)</f>
        <v>2</v>
      </c>
      <c r="C413" s="20" t="s">
        <v>519</v>
      </c>
      <c r="D413" s="15" t="s">
        <v>422</v>
      </c>
      <c r="E413" s="15" t="s">
        <v>29</v>
      </c>
      <c r="F413" s="15" t="str">
        <f>IF(Tabla15[[#This Row],[Columna1]]="","actividad","subactividad")</f>
        <v>subactividad</v>
      </c>
      <c r="G413" s="16"/>
      <c r="H413" s="19">
        <f t="shared" si="48"/>
        <v>46197</v>
      </c>
      <c r="I413" s="19">
        <f>IF(Tabla15[[#This Row],[Duracion ideal (dia)]]="",I412,Tabla15[[#This Row],[Inicio ideal]]+Tabla15[[#This Row],[Duracion ideal (dia)]])</f>
        <v>46197</v>
      </c>
      <c r="J413" s="16"/>
      <c r="K413" s="19">
        <f>IF(Tabla15[[#This Row],[Duracion Real (dia)]]="",K412,L412)</f>
        <v>46205</v>
      </c>
      <c r="L413" s="19">
        <f>IF(Tabla15[[#This Row],[Duracion Real (dia)]]="",L412,Tabla15[[#This Row],[Inicio Real]]+Tabla15[[#This Row],[Duracion Real (dia)]])</f>
        <v>46212</v>
      </c>
      <c r="M413" s="16"/>
      <c r="N413" s="19" t="s">
        <v>35</v>
      </c>
      <c r="O413" s="13" t="s">
        <v>35</v>
      </c>
      <c r="P413" s="13" t="s">
        <v>35</v>
      </c>
      <c r="Q413" s="13" t="s">
        <v>35</v>
      </c>
      <c r="R413" s="13" t="s">
        <v>35</v>
      </c>
      <c r="S413" s="13" t="s">
        <v>35</v>
      </c>
      <c r="T413" s="13" t="s">
        <v>35</v>
      </c>
    </row>
    <row r="414" spans="1:20" hidden="1">
      <c r="A414" s="9" t="str">
        <f>CONCATENATE($A$411,".",B414)</f>
        <v>3.1.3.13.3</v>
      </c>
      <c r="B414" s="9">
        <f>IF(B413=" ",1,B413+1)</f>
        <v>3</v>
      </c>
      <c r="C414" s="10" t="s">
        <v>520</v>
      </c>
      <c r="D414" s="11" t="s">
        <v>422</v>
      </c>
      <c r="E414" s="11" t="s">
        <v>29</v>
      </c>
      <c r="F414" s="15" t="str">
        <f>IF(Tabla15[[#This Row],[Columna1]]="","actividad","subactividad")</f>
        <v>subactividad</v>
      </c>
      <c r="G414" s="12"/>
      <c r="H414" s="19">
        <f t="shared" si="48"/>
        <v>46197</v>
      </c>
      <c r="I414" s="19">
        <f>IF(Tabla15[[#This Row],[Duracion ideal (dia)]]="",I413,Tabla15[[#This Row],[Inicio ideal]]+Tabla15[[#This Row],[Duracion ideal (dia)]])</f>
        <v>46197</v>
      </c>
      <c r="J414" s="12"/>
      <c r="K414" s="19">
        <f>IF(Tabla15[[#This Row],[Duracion Real (dia)]]="",K413,L413)</f>
        <v>46205</v>
      </c>
      <c r="L414" s="19">
        <f>IF(Tabla15[[#This Row],[Duracion Real (dia)]]="",L413,Tabla15[[#This Row],[Inicio Real]]+Tabla15[[#This Row],[Duracion Real (dia)]])</f>
        <v>46212</v>
      </c>
      <c r="M414" s="12"/>
      <c r="N414" s="19" t="s">
        <v>35</v>
      </c>
      <c r="O414" s="13" t="s">
        <v>35</v>
      </c>
      <c r="P414" s="13" t="s">
        <v>35</v>
      </c>
      <c r="Q414" s="13" t="s">
        <v>35</v>
      </c>
      <c r="R414" s="13" t="s">
        <v>35</v>
      </c>
      <c r="S414" s="13" t="s">
        <v>35</v>
      </c>
      <c r="T414" s="13" t="s">
        <v>35</v>
      </c>
    </row>
    <row r="415" spans="1:20">
      <c r="A415" s="9" t="s">
        <v>521</v>
      </c>
      <c r="B415" s="9"/>
      <c r="C415" s="21" t="s">
        <v>522</v>
      </c>
      <c r="D415" s="15" t="s">
        <v>422</v>
      </c>
      <c r="E415" s="15" t="s">
        <v>29</v>
      </c>
      <c r="F415" s="15" t="str">
        <f>IF(Tabla15[[#This Row],[Columna1]]="","actividad","subactividad")</f>
        <v>actividad</v>
      </c>
      <c r="G415" s="16" t="s">
        <v>209</v>
      </c>
      <c r="H415" s="19">
        <f t="shared" si="48"/>
        <v>46197</v>
      </c>
      <c r="I415" s="19">
        <f>IF(Tabla15[[#This Row],[Duracion ideal (dia)]]="",I414,Tabla15[[#This Row],[Inicio ideal]]+Tabla15[[#This Row],[Duracion ideal (dia)]])</f>
        <v>46203</v>
      </c>
      <c r="J415" s="16">
        <v>6</v>
      </c>
      <c r="K415" s="19">
        <f>IF(Tabla15[[#This Row],[Duracion Real (dia)]]="",K414,L414)</f>
        <v>46212</v>
      </c>
      <c r="L415" s="19">
        <f>IF(Tabla15[[#This Row],[Duracion Real (dia)]]="",L414,Tabla15[[#This Row],[Inicio Real]]+Tabla15[[#This Row],[Duracion Real (dia)]])</f>
        <v>46218</v>
      </c>
      <c r="M415" s="16">
        <v>6</v>
      </c>
      <c r="N415" s="19" t="s">
        <v>88</v>
      </c>
      <c r="O415" s="13">
        <v>495008.07</v>
      </c>
      <c r="P415" s="13">
        <v>9692.2800000000007</v>
      </c>
      <c r="Q415" s="13">
        <v>504700.35000000003</v>
      </c>
      <c r="R415" s="13">
        <v>501931.17</v>
      </c>
      <c r="S415" s="13">
        <v>643510.49100000004</v>
      </c>
      <c r="T415" s="13">
        <v>643510.49100000004</v>
      </c>
    </row>
    <row r="416" spans="1:20" hidden="1">
      <c r="A416" s="9" t="str">
        <f>CONCATENATE($A$415,".",B416)</f>
        <v>3.1.3.14.1</v>
      </c>
      <c r="B416" s="9">
        <f>IF(B415=" ",1,B415+1)</f>
        <v>1</v>
      </c>
      <c r="C416" s="10" t="s">
        <v>523</v>
      </c>
      <c r="D416" s="11" t="s">
        <v>422</v>
      </c>
      <c r="E416" s="11" t="s">
        <v>29</v>
      </c>
      <c r="F416" s="15" t="str">
        <f>IF(Tabla15[[#This Row],[Columna1]]="","actividad","subactividad")</f>
        <v>subactividad</v>
      </c>
      <c r="G416" s="12"/>
      <c r="H416" s="19">
        <f t="shared" si="48"/>
        <v>46203</v>
      </c>
      <c r="I416" s="19">
        <f>IF(Tabla15[[#This Row],[Duracion ideal (dia)]]="",I415,Tabla15[[#This Row],[Inicio ideal]]+Tabla15[[#This Row],[Duracion ideal (dia)]])</f>
        <v>46203</v>
      </c>
      <c r="J416" s="12"/>
      <c r="K416" s="19">
        <f>IF(Tabla15[[#This Row],[Duracion Real (dia)]]="",K415,L415)</f>
        <v>46212</v>
      </c>
      <c r="L416" s="19">
        <f>IF(Tabla15[[#This Row],[Duracion Real (dia)]]="",L415,Tabla15[[#This Row],[Inicio Real]]+Tabla15[[#This Row],[Duracion Real (dia)]])</f>
        <v>46218</v>
      </c>
      <c r="M416" s="12"/>
      <c r="N416" s="19" t="s">
        <v>35</v>
      </c>
      <c r="O416" s="13" t="s">
        <v>35</v>
      </c>
      <c r="P416" s="13" t="s">
        <v>35</v>
      </c>
      <c r="Q416" s="13" t="s">
        <v>35</v>
      </c>
      <c r="R416" s="13" t="s">
        <v>35</v>
      </c>
      <c r="S416" s="13" t="s">
        <v>35</v>
      </c>
      <c r="T416" s="13" t="s">
        <v>35</v>
      </c>
    </row>
    <row r="417" spans="1:20" hidden="1">
      <c r="A417" s="9" t="str">
        <f>CONCATENATE($A$415,".",B417)</f>
        <v>3.1.3.14.2</v>
      </c>
      <c r="B417" s="9">
        <f>IF(B416=" ",1,B416+1)</f>
        <v>2</v>
      </c>
      <c r="C417" s="20" t="s">
        <v>524</v>
      </c>
      <c r="D417" s="15" t="s">
        <v>422</v>
      </c>
      <c r="E417" s="15" t="s">
        <v>29</v>
      </c>
      <c r="F417" s="15" t="str">
        <f>IF(Tabla15[[#This Row],[Columna1]]="","actividad","subactividad")</f>
        <v>subactividad</v>
      </c>
      <c r="G417" s="16"/>
      <c r="H417" s="19">
        <f t="shared" si="48"/>
        <v>46203</v>
      </c>
      <c r="I417" s="19">
        <f>IF(Tabla15[[#This Row],[Duracion ideal (dia)]]="",I416,Tabla15[[#This Row],[Inicio ideal]]+Tabla15[[#This Row],[Duracion ideal (dia)]])</f>
        <v>46203</v>
      </c>
      <c r="J417" s="16"/>
      <c r="K417" s="19">
        <f>IF(Tabla15[[#This Row],[Duracion Real (dia)]]="",K416,L416)</f>
        <v>46212</v>
      </c>
      <c r="L417" s="19">
        <f>IF(Tabla15[[#This Row],[Duracion Real (dia)]]="",L416,Tabla15[[#This Row],[Inicio Real]]+Tabla15[[#This Row],[Duracion Real (dia)]])</f>
        <v>46218</v>
      </c>
      <c r="M417" s="16"/>
      <c r="N417" s="19" t="s">
        <v>35</v>
      </c>
      <c r="O417" s="13" t="s">
        <v>35</v>
      </c>
      <c r="P417" s="13" t="s">
        <v>35</v>
      </c>
      <c r="Q417" s="13" t="s">
        <v>35</v>
      </c>
      <c r="R417" s="13" t="s">
        <v>35</v>
      </c>
      <c r="S417" s="13" t="s">
        <v>35</v>
      </c>
      <c r="T417" s="13" t="s">
        <v>35</v>
      </c>
    </row>
    <row r="418" spans="1:20" hidden="1">
      <c r="A418" s="9" t="str">
        <f>CONCATENATE($A$415,".",B418)</f>
        <v>3.1.3.14.3</v>
      </c>
      <c r="B418" s="9">
        <f>IF(B417=" ",1,B417+1)</f>
        <v>3</v>
      </c>
      <c r="C418" s="10" t="s">
        <v>525</v>
      </c>
      <c r="D418" s="11" t="s">
        <v>422</v>
      </c>
      <c r="E418" s="11" t="s">
        <v>29</v>
      </c>
      <c r="F418" s="15" t="str">
        <f>IF(Tabla15[[#This Row],[Columna1]]="","actividad","subactividad")</f>
        <v>subactividad</v>
      </c>
      <c r="G418" s="12"/>
      <c r="H418" s="19">
        <f t="shared" si="48"/>
        <v>46203</v>
      </c>
      <c r="I418" s="19">
        <f>IF(Tabla15[[#This Row],[Duracion ideal (dia)]]="",I417,Tabla15[[#This Row],[Inicio ideal]]+Tabla15[[#This Row],[Duracion ideal (dia)]])</f>
        <v>46203</v>
      </c>
      <c r="J418" s="12"/>
      <c r="K418" s="19">
        <f>IF(Tabla15[[#This Row],[Duracion Real (dia)]]="",K417,L417)</f>
        <v>46212</v>
      </c>
      <c r="L418" s="19">
        <f>IF(Tabla15[[#This Row],[Duracion Real (dia)]]="",L417,Tabla15[[#This Row],[Inicio Real]]+Tabla15[[#This Row],[Duracion Real (dia)]])</f>
        <v>46218</v>
      </c>
      <c r="M418" s="12"/>
      <c r="N418" s="19" t="s">
        <v>35</v>
      </c>
      <c r="O418" s="13" t="s">
        <v>35</v>
      </c>
      <c r="P418" s="13" t="s">
        <v>35</v>
      </c>
      <c r="Q418" s="13" t="s">
        <v>35</v>
      </c>
      <c r="R418" s="13" t="s">
        <v>35</v>
      </c>
      <c r="S418" s="13" t="s">
        <v>35</v>
      </c>
      <c r="T418" s="13" t="s">
        <v>35</v>
      </c>
    </row>
    <row r="419" spans="1:20" hidden="1">
      <c r="A419" s="9" t="str">
        <f>CONCATENATE($A$415,".",B419)</f>
        <v>3.1.3.14.4</v>
      </c>
      <c r="B419" s="9">
        <f>IF(B418=" ",1,B418+1)</f>
        <v>4</v>
      </c>
      <c r="C419" s="20" t="s">
        <v>526</v>
      </c>
      <c r="D419" s="15" t="s">
        <v>422</v>
      </c>
      <c r="E419" s="15" t="s">
        <v>29</v>
      </c>
      <c r="F419" s="15" t="str">
        <f>IF(Tabla15[[#This Row],[Columna1]]="","actividad","subactividad")</f>
        <v>subactividad</v>
      </c>
      <c r="G419" s="16"/>
      <c r="H419" s="19">
        <f t="shared" si="48"/>
        <v>46203</v>
      </c>
      <c r="I419" s="19">
        <f>IF(Tabla15[[#This Row],[Duracion ideal (dia)]]="",I418,Tabla15[[#This Row],[Inicio ideal]]+Tabla15[[#This Row],[Duracion ideal (dia)]])</f>
        <v>46203</v>
      </c>
      <c r="J419" s="16"/>
      <c r="K419" s="19">
        <f>IF(Tabla15[[#This Row],[Duracion Real (dia)]]="",K418,L418)</f>
        <v>46212</v>
      </c>
      <c r="L419" s="19">
        <f>IF(Tabla15[[#This Row],[Duracion Real (dia)]]="",L418,Tabla15[[#This Row],[Inicio Real]]+Tabla15[[#This Row],[Duracion Real (dia)]])</f>
        <v>46218</v>
      </c>
      <c r="M419" s="16"/>
      <c r="N419" s="19" t="s">
        <v>35</v>
      </c>
      <c r="O419" s="13" t="s">
        <v>35</v>
      </c>
      <c r="P419" s="13" t="s">
        <v>35</v>
      </c>
      <c r="Q419" s="13" t="s">
        <v>35</v>
      </c>
      <c r="R419" s="13" t="s">
        <v>35</v>
      </c>
      <c r="S419" s="13" t="s">
        <v>35</v>
      </c>
      <c r="T419" s="13" t="s">
        <v>35</v>
      </c>
    </row>
    <row r="420" spans="1:20">
      <c r="A420" s="9" t="s">
        <v>527</v>
      </c>
      <c r="B420" s="9"/>
      <c r="C420" s="22" t="s">
        <v>528</v>
      </c>
      <c r="D420" s="11" t="s">
        <v>422</v>
      </c>
      <c r="E420" s="11" t="s">
        <v>29</v>
      </c>
      <c r="F420" s="15" t="str">
        <f>IF(Tabla15[[#This Row],[Columna1]]="","actividad","subactividad")</f>
        <v>actividad</v>
      </c>
      <c r="G420" s="12" t="s">
        <v>209</v>
      </c>
      <c r="H420" s="19">
        <f t="shared" si="48"/>
        <v>46203</v>
      </c>
      <c r="I420" s="19">
        <f>IF(Tabla15[[#This Row],[Duracion ideal (dia)]]="",I419,Tabla15[[#This Row],[Inicio ideal]]+Tabla15[[#This Row],[Duracion ideal (dia)]])</f>
        <v>46211</v>
      </c>
      <c r="J420" s="12">
        <v>8</v>
      </c>
      <c r="K420" s="19">
        <f>IF(Tabla15[[#This Row],[Duracion Real (dia)]]="",K419,L419)</f>
        <v>46218</v>
      </c>
      <c r="L420" s="19">
        <f>IF(Tabla15[[#This Row],[Duracion Real (dia)]]="",L419,Tabla15[[#This Row],[Inicio Real]]+Tabla15[[#This Row],[Duracion Real (dia)]])</f>
        <v>46226</v>
      </c>
      <c r="M420" s="12">
        <v>8</v>
      </c>
      <c r="N420" s="19" t="s">
        <v>88</v>
      </c>
      <c r="O420" s="13">
        <v>992016.14</v>
      </c>
      <c r="P420" s="13">
        <v>9230.7999999999993</v>
      </c>
      <c r="Q420" s="13">
        <v>1001246.9400000001</v>
      </c>
      <c r="R420" s="13">
        <v>1001246.9400000001</v>
      </c>
      <c r="S420" s="13">
        <v>1289620.9820000001</v>
      </c>
      <c r="T420" s="13">
        <v>1289620.9820000001</v>
      </c>
    </row>
    <row r="421" spans="1:20" hidden="1">
      <c r="A421" s="9" t="str">
        <f>CONCATENATE($A$420,".",B421)</f>
        <v>3.1.3.15.1</v>
      </c>
      <c r="B421" s="9">
        <f>IF(B420=" ",1,B420+1)</f>
        <v>1</v>
      </c>
      <c r="C421" s="20" t="s">
        <v>529</v>
      </c>
      <c r="D421" s="15" t="s">
        <v>422</v>
      </c>
      <c r="E421" s="15" t="s">
        <v>29</v>
      </c>
      <c r="F421" s="15" t="str">
        <f>IF(Tabla15[[#This Row],[Columna1]]="","actividad","subactividad")</f>
        <v>subactividad</v>
      </c>
      <c r="G421" s="16"/>
      <c r="H421" s="19">
        <f t="shared" si="48"/>
        <v>46211</v>
      </c>
      <c r="I421" s="19">
        <f>IF(Tabla15[[#This Row],[Duracion ideal (dia)]]="",I420,Tabla15[[#This Row],[Inicio ideal]]+Tabla15[[#This Row],[Duracion ideal (dia)]])</f>
        <v>46211</v>
      </c>
      <c r="J421" s="16"/>
      <c r="K421" s="19">
        <f>IF(Tabla15[[#This Row],[Duracion Real (dia)]]="",K420,L420)</f>
        <v>46218</v>
      </c>
      <c r="L421" s="19">
        <f>IF(Tabla15[[#This Row],[Duracion Real (dia)]]="",L420,Tabla15[[#This Row],[Inicio Real]]+Tabla15[[#This Row],[Duracion Real (dia)]])</f>
        <v>46226</v>
      </c>
      <c r="M421" s="16"/>
      <c r="N421" s="19" t="s">
        <v>35</v>
      </c>
      <c r="O421" s="13" t="s">
        <v>35</v>
      </c>
      <c r="P421" s="13" t="s">
        <v>35</v>
      </c>
      <c r="Q421" s="13" t="s">
        <v>35</v>
      </c>
      <c r="R421" s="13" t="s">
        <v>35</v>
      </c>
      <c r="S421" s="13" t="s">
        <v>35</v>
      </c>
      <c r="T421" s="13" t="s">
        <v>35</v>
      </c>
    </row>
    <row r="422" spans="1:20" hidden="1">
      <c r="A422" s="9" t="str">
        <f>CONCATENATE($A$420,".",B422)</f>
        <v>3.1.3.15.2</v>
      </c>
      <c r="B422" s="9">
        <f>IF(B421=" ",1,B421+1)</f>
        <v>2</v>
      </c>
      <c r="C422" s="10" t="s">
        <v>530</v>
      </c>
      <c r="D422" s="11" t="s">
        <v>422</v>
      </c>
      <c r="E422" s="11" t="s">
        <v>29</v>
      </c>
      <c r="F422" s="15" t="str">
        <f>IF(Tabla15[[#This Row],[Columna1]]="","actividad","subactividad")</f>
        <v>subactividad</v>
      </c>
      <c r="G422" s="12"/>
      <c r="H422" s="19">
        <f t="shared" si="48"/>
        <v>46211</v>
      </c>
      <c r="I422" s="19">
        <f>IF(Tabla15[[#This Row],[Duracion ideal (dia)]]="",I421,Tabla15[[#This Row],[Inicio ideal]]+Tabla15[[#This Row],[Duracion ideal (dia)]])</f>
        <v>46211</v>
      </c>
      <c r="J422" s="12"/>
      <c r="K422" s="19">
        <f>IF(Tabla15[[#This Row],[Duracion Real (dia)]]="",K421,L421)</f>
        <v>46218</v>
      </c>
      <c r="L422" s="19">
        <f>IF(Tabla15[[#This Row],[Duracion Real (dia)]]="",L421,Tabla15[[#This Row],[Inicio Real]]+Tabla15[[#This Row],[Duracion Real (dia)]])</f>
        <v>46226</v>
      </c>
      <c r="M422" s="12"/>
      <c r="N422" s="19" t="s">
        <v>35</v>
      </c>
      <c r="O422" s="13" t="s">
        <v>35</v>
      </c>
      <c r="P422" s="13" t="s">
        <v>35</v>
      </c>
      <c r="Q422" s="13" t="s">
        <v>35</v>
      </c>
      <c r="R422" s="13" t="s">
        <v>35</v>
      </c>
      <c r="S422" s="13" t="s">
        <v>35</v>
      </c>
      <c r="T422" s="13" t="s">
        <v>35</v>
      </c>
    </row>
    <row r="423" spans="1:20" hidden="1">
      <c r="A423" s="9" t="str">
        <f>CONCATENATE($A$420,".",B423)</f>
        <v>3.1.3.15.3</v>
      </c>
      <c r="B423" s="9">
        <f>IF(B422=" ",1,B422+1)</f>
        <v>3</v>
      </c>
      <c r="C423" s="20" t="s">
        <v>531</v>
      </c>
      <c r="D423" s="15" t="s">
        <v>422</v>
      </c>
      <c r="E423" s="15" t="s">
        <v>29</v>
      </c>
      <c r="F423" s="15" t="str">
        <f>IF(Tabla15[[#This Row],[Columna1]]="","actividad","subactividad")</f>
        <v>subactividad</v>
      </c>
      <c r="G423" s="16"/>
      <c r="H423" s="19">
        <f t="shared" si="48"/>
        <v>46211</v>
      </c>
      <c r="I423" s="19">
        <f>IF(Tabla15[[#This Row],[Duracion ideal (dia)]]="",I422,Tabla15[[#This Row],[Inicio ideal]]+Tabla15[[#This Row],[Duracion ideal (dia)]])</f>
        <v>46211</v>
      </c>
      <c r="J423" s="16"/>
      <c r="K423" s="19">
        <f>IF(Tabla15[[#This Row],[Duracion Real (dia)]]="",K422,L422)</f>
        <v>46218</v>
      </c>
      <c r="L423" s="19">
        <f>IF(Tabla15[[#This Row],[Duracion Real (dia)]]="",L422,Tabla15[[#This Row],[Inicio Real]]+Tabla15[[#This Row],[Duracion Real (dia)]])</f>
        <v>46226</v>
      </c>
      <c r="M423" s="16"/>
      <c r="N423" s="19" t="s">
        <v>35</v>
      </c>
      <c r="O423" s="13" t="s">
        <v>35</v>
      </c>
      <c r="P423" s="13" t="s">
        <v>35</v>
      </c>
      <c r="Q423" s="13" t="s">
        <v>35</v>
      </c>
      <c r="R423" s="13" t="s">
        <v>35</v>
      </c>
      <c r="S423" s="13" t="s">
        <v>35</v>
      </c>
      <c r="T423" s="13" t="s">
        <v>35</v>
      </c>
    </row>
    <row r="424" spans="1:20">
      <c r="A424" s="9" t="s">
        <v>532</v>
      </c>
      <c r="B424" s="9"/>
      <c r="C424" s="22" t="s">
        <v>533</v>
      </c>
      <c r="D424" s="11" t="s">
        <v>422</v>
      </c>
      <c r="E424" s="11" t="s">
        <v>29</v>
      </c>
      <c r="F424" s="15" t="str">
        <f>IF(Tabla15[[#This Row],[Columna1]]="","actividad","subactividad")</f>
        <v>actividad</v>
      </c>
      <c r="G424" s="12" t="s">
        <v>209</v>
      </c>
      <c r="H424" s="19">
        <f t="shared" si="48"/>
        <v>46211</v>
      </c>
      <c r="I424" s="19">
        <f>IF(Tabla15[[#This Row],[Duracion ideal (dia)]]="",I423,Tabla15[[#This Row],[Inicio ideal]]+Tabla15[[#This Row],[Duracion ideal (dia)]])</f>
        <v>46216</v>
      </c>
      <c r="J424" s="12">
        <v>5</v>
      </c>
      <c r="K424" s="19">
        <f>IF(Tabla15[[#This Row],[Duracion Real (dia)]]="",K423,L423)</f>
        <v>46226</v>
      </c>
      <c r="L424" s="19">
        <f>IF(Tabla15[[#This Row],[Duracion Real (dia)]]="",L423,Tabla15[[#This Row],[Inicio Real]]+Tabla15[[#This Row],[Duracion Real (dia)]])</f>
        <v>46231</v>
      </c>
      <c r="M424" s="12">
        <v>5</v>
      </c>
      <c r="N424" s="19" t="s">
        <v>160</v>
      </c>
      <c r="O424" s="13">
        <v>496008.07</v>
      </c>
      <c r="P424" s="13">
        <v>6230.75</v>
      </c>
      <c r="Q424" s="13">
        <v>502238.82</v>
      </c>
      <c r="R424" s="13">
        <v>502931.17</v>
      </c>
      <c r="S424" s="13">
        <v>644810.49100000004</v>
      </c>
      <c r="T424" s="13">
        <v>644810.49100000004</v>
      </c>
    </row>
    <row r="425" spans="1:20" hidden="1">
      <c r="A425" s="9" t="str">
        <f>CONCATENATE($A$424,".",B425)</f>
        <v>3.1.3.16.1</v>
      </c>
      <c r="B425" s="9">
        <f>IF(B424=" ",1,B424+1)</f>
        <v>1</v>
      </c>
      <c r="C425" s="20" t="s">
        <v>534</v>
      </c>
      <c r="D425" s="15" t="s">
        <v>422</v>
      </c>
      <c r="E425" s="15" t="s">
        <v>29</v>
      </c>
      <c r="F425" s="15" t="str">
        <f>IF(Tabla15[[#This Row],[Columna1]]="","actividad","subactividad")</f>
        <v>subactividad</v>
      </c>
      <c r="G425" s="16"/>
      <c r="H425" s="19">
        <f t="shared" si="48"/>
        <v>46216</v>
      </c>
      <c r="I425" s="19">
        <f>IF(Tabla15[[#This Row],[Duracion ideal (dia)]]="",I424,Tabla15[[#This Row],[Inicio ideal]]+Tabla15[[#This Row],[Duracion ideal (dia)]])</f>
        <v>46216</v>
      </c>
      <c r="J425" s="16"/>
      <c r="K425" s="19">
        <f>IF(Tabla15[[#This Row],[Duracion Real (dia)]]="",K424,L424)</f>
        <v>46226</v>
      </c>
      <c r="L425" s="19">
        <f>IF(Tabla15[[#This Row],[Duracion Real (dia)]]="",L424,Tabla15[[#This Row],[Inicio Real]]+Tabla15[[#This Row],[Duracion Real (dia)]])</f>
        <v>46231</v>
      </c>
      <c r="M425" s="16"/>
      <c r="N425" s="19" t="s">
        <v>35</v>
      </c>
      <c r="O425" s="13" t="s">
        <v>35</v>
      </c>
      <c r="P425" s="13" t="s">
        <v>35</v>
      </c>
      <c r="Q425" s="13" t="s">
        <v>35</v>
      </c>
      <c r="R425" s="13" t="s">
        <v>35</v>
      </c>
      <c r="S425" s="13" t="s">
        <v>35</v>
      </c>
      <c r="T425" s="13" t="s">
        <v>35</v>
      </c>
    </row>
    <row r="426" spans="1:20" hidden="1">
      <c r="A426" s="9" t="str">
        <f>CONCATENATE($A$424,".",B426)</f>
        <v>3.1.3.16.2</v>
      </c>
      <c r="B426" s="9">
        <f>IF(B425=" ",1,B425+1)</f>
        <v>2</v>
      </c>
      <c r="C426" s="10" t="s">
        <v>535</v>
      </c>
      <c r="D426" s="11" t="s">
        <v>422</v>
      </c>
      <c r="E426" s="11" t="s">
        <v>29</v>
      </c>
      <c r="F426" s="15" t="str">
        <f>IF(Tabla15[[#This Row],[Columna1]]="","actividad","subactividad")</f>
        <v>subactividad</v>
      </c>
      <c r="G426" s="12"/>
      <c r="H426" s="19">
        <f t="shared" ref="H426:H489" si="51">I425</f>
        <v>46216</v>
      </c>
      <c r="I426" s="19">
        <f>IF(Tabla15[[#This Row],[Duracion ideal (dia)]]="",I425,Tabla15[[#This Row],[Inicio ideal]]+Tabla15[[#This Row],[Duracion ideal (dia)]])</f>
        <v>46216</v>
      </c>
      <c r="J426" s="12"/>
      <c r="K426" s="19">
        <f>IF(Tabla15[[#This Row],[Duracion Real (dia)]]="",K425,L425)</f>
        <v>46226</v>
      </c>
      <c r="L426" s="19">
        <f>IF(Tabla15[[#This Row],[Duracion Real (dia)]]="",L425,Tabla15[[#This Row],[Inicio Real]]+Tabla15[[#This Row],[Duracion Real (dia)]])</f>
        <v>46231</v>
      </c>
      <c r="M426" s="12"/>
      <c r="N426" s="19" t="s">
        <v>35</v>
      </c>
      <c r="O426" s="13" t="s">
        <v>35</v>
      </c>
      <c r="P426" s="13" t="s">
        <v>35</v>
      </c>
      <c r="Q426" s="13" t="s">
        <v>35</v>
      </c>
      <c r="R426" s="13" t="s">
        <v>35</v>
      </c>
      <c r="S426" s="13" t="s">
        <v>35</v>
      </c>
      <c r="T426" s="13" t="s">
        <v>35</v>
      </c>
    </row>
    <row r="427" spans="1:20" hidden="1">
      <c r="A427" s="9" t="str">
        <f>CONCATENATE($A$424,".",B427)</f>
        <v>3.1.3.16.3</v>
      </c>
      <c r="B427" s="9">
        <f>IF(B426=" ",1,B426+1)</f>
        <v>3</v>
      </c>
      <c r="C427" s="20" t="s">
        <v>536</v>
      </c>
      <c r="D427" s="15" t="s">
        <v>422</v>
      </c>
      <c r="E427" s="15" t="s">
        <v>29</v>
      </c>
      <c r="F427" s="15" t="str">
        <f>IF(Tabla15[[#This Row],[Columna1]]="","actividad","subactividad")</f>
        <v>subactividad</v>
      </c>
      <c r="G427" s="16"/>
      <c r="H427" s="19">
        <f t="shared" si="51"/>
        <v>46216</v>
      </c>
      <c r="I427" s="19">
        <f>IF(Tabla15[[#This Row],[Duracion ideal (dia)]]="",I426,Tabla15[[#This Row],[Inicio ideal]]+Tabla15[[#This Row],[Duracion ideal (dia)]])</f>
        <v>46216</v>
      </c>
      <c r="J427" s="16"/>
      <c r="K427" s="19">
        <f>IF(Tabla15[[#This Row],[Duracion Real (dia)]]="",K426,L426)</f>
        <v>46226</v>
      </c>
      <c r="L427" s="19">
        <f>IF(Tabla15[[#This Row],[Duracion Real (dia)]]="",L426,Tabla15[[#This Row],[Inicio Real]]+Tabla15[[#This Row],[Duracion Real (dia)]])</f>
        <v>46231</v>
      </c>
      <c r="M427" s="16"/>
      <c r="N427" s="19" t="s">
        <v>35</v>
      </c>
      <c r="O427" s="13" t="s">
        <v>35</v>
      </c>
      <c r="P427" s="13" t="s">
        <v>35</v>
      </c>
      <c r="Q427" s="13" t="s">
        <v>35</v>
      </c>
      <c r="R427" s="13" t="s">
        <v>35</v>
      </c>
      <c r="S427" s="13" t="s">
        <v>35</v>
      </c>
      <c r="T427" s="13" t="s">
        <v>35</v>
      </c>
    </row>
    <row r="428" spans="1:20" hidden="1">
      <c r="A428" s="9" t="str">
        <f>CONCATENATE($A$424,".",B428)</f>
        <v>3.1.3.16.4</v>
      </c>
      <c r="B428" s="9">
        <f>IF(B427=" ",1,B427+1)</f>
        <v>4</v>
      </c>
      <c r="C428" s="10" t="s">
        <v>537</v>
      </c>
      <c r="D428" s="11" t="s">
        <v>422</v>
      </c>
      <c r="E428" s="11" t="s">
        <v>29</v>
      </c>
      <c r="F428" s="15" t="str">
        <f>IF(Tabla15[[#This Row],[Columna1]]="","actividad","subactividad")</f>
        <v>subactividad</v>
      </c>
      <c r="G428" s="12"/>
      <c r="H428" s="19">
        <f t="shared" si="51"/>
        <v>46216</v>
      </c>
      <c r="I428" s="19">
        <f>IF(Tabla15[[#This Row],[Duracion ideal (dia)]]="",I427,Tabla15[[#This Row],[Inicio ideal]]+Tabla15[[#This Row],[Duracion ideal (dia)]])</f>
        <v>46216</v>
      </c>
      <c r="J428" s="12"/>
      <c r="K428" s="19">
        <f>IF(Tabla15[[#This Row],[Duracion Real (dia)]]="",K427,L427)</f>
        <v>46226</v>
      </c>
      <c r="L428" s="19">
        <f>IF(Tabla15[[#This Row],[Duracion Real (dia)]]="",L427,Tabla15[[#This Row],[Inicio Real]]+Tabla15[[#This Row],[Duracion Real (dia)]])</f>
        <v>46231</v>
      </c>
      <c r="M428" s="12"/>
      <c r="N428" s="19" t="s">
        <v>35</v>
      </c>
      <c r="O428" s="13" t="s">
        <v>35</v>
      </c>
      <c r="P428" s="13" t="s">
        <v>35</v>
      </c>
      <c r="Q428" s="13" t="s">
        <v>35</v>
      </c>
      <c r="R428" s="13" t="s">
        <v>35</v>
      </c>
      <c r="S428" s="13" t="s">
        <v>35</v>
      </c>
      <c r="T428" s="13" t="s">
        <v>35</v>
      </c>
    </row>
    <row r="429" spans="1:20" hidden="1">
      <c r="A429" s="9" t="str">
        <f>CONCATENATE($A$424,".",B429)</f>
        <v>3.1.3.16.5</v>
      </c>
      <c r="B429" s="9">
        <f>IF(B428=" ",1,B428+1)</f>
        <v>5</v>
      </c>
      <c r="C429" s="20" t="s">
        <v>538</v>
      </c>
      <c r="D429" s="15" t="s">
        <v>422</v>
      </c>
      <c r="E429" s="15" t="s">
        <v>29</v>
      </c>
      <c r="F429" s="15" t="str">
        <f>IF(Tabla15[[#This Row],[Columna1]]="","actividad","subactividad")</f>
        <v>subactividad</v>
      </c>
      <c r="G429" s="16"/>
      <c r="H429" s="19">
        <f t="shared" si="51"/>
        <v>46216</v>
      </c>
      <c r="I429" s="19">
        <f>IF(Tabla15[[#This Row],[Duracion ideal (dia)]]="",I428,Tabla15[[#This Row],[Inicio ideal]]+Tabla15[[#This Row],[Duracion ideal (dia)]])</f>
        <v>46216</v>
      </c>
      <c r="J429" s="16"/>
      <c r="K429" s="19">
        <f>IF(Tabla15[[#This Row],[Duracion Real (dia)]]="",K428,L428)</f>
        <v>46226</v>
      </c>
      <c r="L429" s="19">
        <f>IF(Tabla15[[#This Row],[Duracion Real (dia)]]="",L428,Tabla15[[#This Row],[Inicio Real]]+Tabla15[[#This Row],[Duracion Real (dia)]])</f>
        <v>46231</v>
      </c>
      <c r="M429" s="16"/>
      <c r="N429" s="19" t="s">
        <v>35</v>
      </c>
      <c r="O429" s="13" t="s">
        <v>35</v>
      </c>
      <c r="P429" s="13" t="s">
        <v>35</v>
      </c>
      <c r="Q429" s="13" t="s">
        <v>35</v>
      </c>
      <c r="R429" s="13" t="s">
        <v>35</v>
      </c>
      <c r="S429" s="13" t="s">
        <v>35</v>
      </c>
      <c r="T429" s="13" t="s">
        <v>35</v>
      </c>
    </row>
    <row r="430" spans="1:20">
      <c r="A430" s="9" t="s">
        <v>539</v>
      </c>
      <c r="B430" s="9"/>
      <c r="C430" s="22" t="s">
        <v>540</v>
      </c>
      <c r="D430" s="11" t="s">
        <v>422</v>
      </c>
      <c r="E430" s="11" t="s">
        <v>29</v>
      </c>
      <c r="F430" s="15" t="str">
        <f>IF(Tabla15[[#This Row],[Columna1]]="","actividad","subactividad")</f>
        <v>actividad</v>
      </c>
      <c r="G430" s="12" t="s">
        <v>209</v>
      </c>
      <c r="H430" s="19">
        <f t="shared" si="51"/>
        <v>46216</v>
      </c>
      <c r="I430" s="19">
        <f>IF(Tabla15[[#This Row],[Duracion ideal (dia)]]="",I429,Tabla15[[#This Row],[Inicio ideal]]+Tabla15[[#This Row],[Duracion ideal (dia)]])</f>
        <v>46221</v>
      </c>
      <c r="J430" s="12">
        <v>5</v>
      </c>
      <c r="K430" s="19">
        <f>IF(Tabla15[[#This Row],[Duracion Real (dia)]]="",K429,L429)</f>
        <v>46231</v>
      </c>
      <c r="L430" s="19">
        <f>IF(Tabla15[[#This Row],[Duracion Real (dia)]]="",L429,Tabla15[[#This Row],[Inicio Real]]+Tabla15[[#This Row],[Duracion Real (dia)]])</f>
        <v>46236</v>
      </c>
      <c r="M430" s="12">
        <v>5</v>
      </c>
      <c r="N430" s="19" t="s">
        <v>160</v>
      </c>
      <c r="O430" s="13">
        <v>744464.11</v>
      </c>
      <c r="P430" s="13">
        <v>9225.75</v>
      </c>
      <c r="Q430" s="13">
        <v>753689.86</v>
      </c>
      <c r="R430" s="13">
        <v>751387.21</v>
      </c>
      <c r="S430" s="13">
        <v>967803.34299999999</v>
      </c>
      <c r="T430" s="13">
        <v>967803.34299999999</v>
      </c>
    </row>
    <row r="431" spans="1:20" hidden="1">
      <c r="A431" s="9" t="str">
        <f>CONCATENATE($A$430,".",B431)</f>
        <v>3.1.3.17.1</v>
      </c>
      <c r="B431" s="9">
        <f>IF(B430=" ",1,B430+1)</f>
        <v>1</v>
      </c>
      <c r="C431" s="20" t="s">
        <v>541</v>
      </c>
      <c r="D431" s="15" t="s">
        <v>422</v>
      </c>
      <c r="E431" s="15" t="s">
        <v>29</v>
      </c>
      <c r="F431" s="15" t="str">
        <f>IF(Tabla15[[#This Row],[Columna1]]="","actividad","subactividad")</f>
        <v>subactividad</v>
      </c>
      <c r="G431" s="16"/>
      <c r="H431" s="19">
        <f t="shared" si="51"/>
        <v>46221</v>
      </c>
      <c r="I431" s="19">
        <f>IF(Tabla15[[#This Row],[Duracion ideal (dia)]]="",I430,Tabla15[[#This Row],[Inicio ideal]]+Tabla15[[#This Row],[Duracion ideal (dia)]])</f>
        <v>46221</v>
      </c>
      <c r="J431" s="16"/>
      <c r="K431" s="19">
        <f>IF(Tabla15[[#This Row],[Duracion Real (dia)]]="",K430,L430)</f>
        <v>46231</v>
      </c>
      <c r="L431" s="19">
        <f>IF(Tabla15[[#This Row],[Duracion Real (dia)]]="",L430,Tabla15[[#This Row],[Inicio Real]]+Tabla15[[#This Row],[Duracion Real (dia)]])</f>
        <v>46236</v>
      </c>
      <c r="M431" s="16"/>
      <c r="N431" s="19" t="s">
        <v>35</v>
      </c>
      <c r="O431" s="13" t="s">
        <v>35</v>
      </c>
      <c r="P431" s="13" t="s">
        <v>35</v>
      </c>
      <c r="Q431" s="13" t="s">
        <v>35</v>
      </c>
      <c r="R431" s="13" t="s">
        <v>35</v>
      </c>
      <c r="S431" s="13" t="s">
        <v>35</v>
      </c>
      <c r="T431" s="13" t="s">
        <v>35</v>
      </c>
    </row>
    <row r="432" spans="1:20" hidden="1">
      <c r="A432" s="9" t="str">
        <f>CONCATENATE($A$430,".",B432)</f>
        <v>3.1.3.17.2</v>
      </c>
      <c r="B432" s="9">
        <f>IF(B431=" ",1,B431+1)</f>
        <v>2</v>
      </c>
      <c r="C432" s="10" t="s">
        <v>542</v>
      </c>
      <c r="D432" s="11" t="s">
        <v>422</v>
      </c>
      <c r="E432" s="11" t="s">
        <v>29</v>
      </c>
      <c r="F432" s="15" t="str">
        <f>IF(Tabla15[[#This Row],[Columna1]]="","actividad","subactividad")</f>
        <v>subactividad</v>
      </c>
      <c r="G432" s="12"/>
      <c r="H432" s="19">
        <f t="shared" si="51"/>
        <v>46221</v>
      </c>
      <c r="I432" s="19">
        <f>IF(Tabla15[[#This Row],[Duracion ideal (dia)]]="",I431,Tabla15[[#This Row],[Inicio ideal]]+Tabla15[[#This Row],[Duracion ideal (dia)]])</f>
        <v>46221</v>
      </c>
      <c r="J432" s="12"/>
      <c r="K432" s="19">
        <f>IF(Tabla15[[#This Row],[Duracion Real (dia)]]="",K431,L431)</f>
        <v>46231</v>
      </c>
      <c r="L432" s="19">
        <f>IF(Tabla15[[#This Row],[Duracion Real (dia)]]="",L431,Tabla15[[#This Row],[Inicio Real]]+Tabla15[[#This Row],[Duracion Real (dia)]])</f>
        <v>46236</v>
      </c>
      <c r="M432" s="12"/>
      <c r="N432" s="19" t="s">
        <v>35</v>
      </c>
      <c r="O432" s="13" t="s">
        <v>35</v>
      </c>
      <c r="P432" s="13" t="s">
        <v>35</v>
      </c>
      <c r="Q432" s="13" t="s">
        <v>35</v>
      </c>
      <c r="R432" s="13" t="s">
        <v>35</v>
      </c>
      <c r="S432" s="13" t="s">
        <v>35</v>
      </c>
      <c r="T432" s="13" t="s">
        <v>35</v>
      </c>
    </row>
    <row r="433" spans="1:20" hidden="1">
      <c r="A433" s="9" t="str">
        <f>CONCATENATE($A$430,".",B433)</f>
        <v>3.1.3.17.3</v>
      </c>
      <c r="B433" s="9">
        <f>IF(B432=" ",1,B432+1)</f>
        <v>3</v>
      </c>
      <c r="C433" s="20" t="s">
        <v>543</v>
      </c>
      <c r="D433" s="15" t="s">
        <v>422</v>
      </c>
      <c r="E433" s="15" t="s">
        <v>29</v>
      </c>
      <c r="F433" s="15" t="str">
        <f>IF(Tabla15[[#This Row],[Columna1]]="","actividad","subactividad")</f>
        <v>subactividad</v>
      </c>
      <c r="G433" s="16"/>
      <c r="H433" s="19">
        <f t="shared" si="51"/>
        <v>46221</v>
      </c>
      <c r="I433" s="19">
        <f>IF(Tabla15[[#This Row],[Duracion ideal (dia)]]="",I432,Tabla15[[#This Row],[Inicio ideal]]+Tabla15[[#This Row],[Duracion ideal (dia)]])</f>
        <v>46221</v>
      </c>
      <c r="J433" s="16"/>
      <c r="K433" s="19">
        <f>IF(Tabla15[[#This Row],[Duracion Real (dia)]]="",K432,L432)</f>
        <v>46231</v>
      </c>
      <c r="L433" s="19">
        <f>IF(Tabla15[[#This Row],[Duracion Real (dia)]]="",L432,Tabla15[[#This Row],[Inicio Real]]+Tabla15[[#This Row],[Duracion Real (dia)]])</f>
        <v>46236</v>
      </c>
      <c r="M433" s="16"/>
      <c r="N433" s="19" t="s">
        <v>35</v>
      </c>
      <c r="O433" s="13" t="s">
        <v>35</v>
      </c>
      <c r="P433" s="13" t="s">
        <v>35</v>
      </c>
      <c r="Q433" s="13" t="s">
        <v>35</v>
      </c>
      <c r="R433" s="13" t="s">
        <v>35</v>
      </c>
      <c r="S433" s="13" t="s">
        <v>35</v>
      </c>
      <c r="T433" s="13" t="s">
        <v>35</v>
      </c>
    </row>
    <row r="434" spans="1:20" hidden="1">
      <c r="A434" s="9" t="str">
        <f>CONCATENATE($A$430,".",B434)</f>
        <v>3.1.3.17.4</v>
      </c>
      <c r="B434" s="9">
        <f>IF(B433=" ",1,B433+1)</f>
        <v>4</v>
      </c>
      <c r="C434" s="10" t="s">
        <v>544</v>
      </c>
      <c r="D434" s="11" t="s">
        <v>422</v>
      </c>
      <c r="E434" s="11" t="s">
        <v>29</v>
      </c>
      <c r="F434" s="15" t="str">
        <f>IF(Tabla15[[#This Row],[Columna1]]="","actividad","subactividad")</f>
        <v>subactividad</v>
      </c>
      <c r="G434" s="12"/>
      <c r="H434" s="19">
        <f t="shared" si="51"/>
        <v>46221</v>
      </c>
      <c r="I434" s="19">
        <f>IF(Tabla15[[#This Row],[Duracion ideal (dia)]]="",I433,Tabla15[[#This Row],[Inicio ideal]]+Tabla15[[#This Row],[Duracion ideal (dia)]])</f>
        <v>46221</v>
      </c>
      <c r="J434" s="12"/>
      <c r="K434" s="19">
        <f>IF(Tabla15[[#This Row],[Duracion Real (dia)]]="",K433,L433)</f>
        <v>46231</v>
      </c>
      <c r="L434" s="19">
        <f>IF(Tabla15[[#This Row],[Duracion Real (dia)]]="",L433,Tabla15[[#This Row],[Inicio Real]]+Tabla15[[#This Row],[Duracion Real (dia)]])</f>
        <v>46236</v>
      </c>
      <c r="M434" s="12"/>
      <c r="N434" s="19" t="s">
        <v>35</v>
      </c>
      <c r="O434" s="13" t="s">
        <v>35</v>
      </c>
      <c r="P434" s="13" t="s">
        <v>35</v>
      </c>
      <c r="Q434" s="13" t="s">
        <v>35</v>
      </c>
      <c r="R434" s="13" t="s">
        <v>35</v>
      </c>
      <c r="S434" s="13" t="s">
        <v>35</v>
      </c>
      <c r="T434" s="13" t="s">
        <v>35</v>
      </c>
    </row>
    <row r="435" spans="1:20" hidden="1">
      <c r="A435" s="9" t="str">
        <f>CONCATENATE($A$430,".",B435)</f>
        <v>3.1.3.17.5</v>
      </c>
      <c r="B435" s="9">
        <f>IF(B434=" ",1,B434+1)</f>
        <v>5</v>
      </c>
      <c r="C435" s="20" t="s">
        <v>545</v>
      </c>
      <c r="D435" s="15" t="s">
        <v>422</v>
      </c>
      <c r="E435" s="15" t="s">
        <v>29</v>
      </c>
      <c r="F435" s="15" t="str">
        <f>IF(Tabla15[[#This Row],[Columna1]]="","actividad","subactividad")</f>
        <v>subactividad</v>
      </c>
      <c r="G435" s="16"/>
      <c r="H435" s="19">
        <f t="shared" si="51"/>
        <v>46221</v>
      </c>
      <c r="I435" s="19">
        <f>IF(Tabla15[[#This Row],[Duracion ideal (dia)]]="",I434,Tabla15[[#This Row],[Inicio ideal]]+Tabla15[[#This Row],[Duracion ideal (dia)]])</f>
        <v>46221</v>
      </c>
      <c r="J435" s="16"/>
      <c r="K435" s="19">
        <f>IF(Tabla15[[#This Row],[Duracion Real (dia)]]="",K434,L434)</f>
        <v>46231</v>
      </c>
      <c r="L435" s="19">
        <f>IF(Tabla15[[#This Row],[Duracion Real (dia)]]="",L434,Tabla15[[#This Row],[Inicio Real]]+Tabla15[[#This Row],[Duracion Real (dia)]])</f>
        <v>46236</v>
      </c>
      <c r="M435" s="16"/>
      <c r="N435" s="19" t="s">
        <v>35</v>
      </c>
      <c r="O435" s="13" t="s">
        <v>35</v>
      </c>
      <c r="P435" s="13" t="s">
        <v>35</v>
      </c>
      <c r="Q435" s="13" t="s">
        <v>35</v>
      </c>
      <c r="R435" s="13" t="s">
        <v>35</v>
      </c>
      <c r="S435" s="13" t="s">
        <v>35</v>
      </c>
      <c r="T435" s="13" t="s">
        <v>35</v>
      </c>
    </row>
    <row r="436" spans="1:20">
      <c r="A436" s="9" t="s">
        <v>546</v>
      </c>
      <c r="B436" s="9"/>
      <c r="C436" s="22" t="s">
        <v>547</v>
      </c>
      <c r="D436" s="11" t="s">
        <v>422</v>
      </c>
      <c r="E436" s="11" t="s">
        <v>29</v>
      </c>
      <c r="F436" s="15" t="str">
        <f>IF(Tabla15[[#This Row],[Columna1]]="","actividad","subactividad")</f>
        <v>actividad</v>
      </c>
      <c r="G436" s="12" t="s">
        <v>209</v>
      </c>
      <c r="H436" s="19">
        <f t="shared" si="51"/>
        <v>46221</v>
      </c>
      <c r="I436" s="19">
        <f>IF(Tabla15[[#This Row],[Duracion ideal (dia)]]="",I435,Tabla15[[#This Row],[Inicio ideal]]+Tabla15[[#This Row],[Duracion ideal (dia)]])</f>
        <v>46226</v>
      </c>
      <c r="J436" s="12">
        <v>5</v>
      </c>
      <c r="K436" s="19">
        <f>IF(Tabla15[[#This Row],[Duracion Real (dia)]]="",K435,L435)</f>
        <v>46236</v>
      </c>
      <c r="L436" s="19">
        <f>IF(Tabla15[[#This Row],[Duracion Real (dia)]]="",L435,Tabla15[[#This Row],[Inicio Real]]+Tabla15[[#This Row],[Duracion Real (dia)]])</f>
        <v>46241</v>
      </c>
      <c r="M436" s="12">
        <v>5</v>
      </c>
      <c r="N436" s="19" t="s">
        <v>88</v>
      </c>
      <c r="O436" s="13">
        <v>496008.07</v>
      </c>
      <c r="P436" s="13">
        <v>9225.75</v>
      </c>
      <c r="Q436" s="13">
        <v>505233.82</v>
      </c>
      <c r="R436" s="13">
        <v>501777.32</v>
      </c>
      <c r="S436" s="13">
        <v>644810.49100000004</v>
      </c>
      <c r="T436" s="13">
        <v>644810.49100000004</v>
      </c>
    </row>
    <row r="437" spans="1:20" hidden="1">
      <c r="A437" s="9" t="str">
        <f>CONCATENATE($A$436,".",B437)</f>
        <v>3.1.3.18.1</v>
      </c>
      <c r="B437" s="9">
        <f>IF(B436=" ",1,B436+1)</f>
        <v>1</v>
      </c>
      <c r="C437" s="20" t="s">
        <v>548</v>
      </c>
      <c r="D437" s="15" t="s">
        <v>422</v>
      </c>
      <c r="E437" s="15" t="s">
        <v>29</v>
      </c>
      <c r="F437" s="15" t="str">
        <f>IF(Tabla15[[#This Row],[Columna1]]="","actividad","subactividad")</f>
        <v>subactividad</v>
      </c>
      <c r="G437" s="16"/>
      <c r="H437" s="19">
        <f t="shared" si="51"/>
        <v>46226</v>
      </c>
      <c r="I437" s="19">
        <f>IF(Tabla15[[#This Row],[Duracion ideal (dia)]]="",I436,Tabla15[[#This Row],[Inicio ideal]]+Tabla15[[#This Row],[Duracion ideal (dia)]])</f>
        <v>46226</v>
      </c>
      <c r="J437" s="16"/>
      <c r="K437" s="19">
        <f>IF(Tabla15[[#This Row],[Duracion Real (dia)]]="",K436,L436)</f>
        <v>46236</v>
      </c>
      <c r="L437" s="19">
        <f>IF(Tabla15[[#This Row],[Duracion Real (dia)]]="",L436,Tabla15[[#This Row],[Inicio Real]]+Tabla15[[#This Row],[Duracion Real (dia)]])</f>
        <v>46241</v>
      </c>
      <c r="M437" s="16"/>
      <c r="N437" s="19" t="s">
        <v>35</v>
      </c>
      <c r="O437" s="13" t="s">
        <v>35</v>
      </c>
      <c r="P437" s="13" t="s">
        <v>35</v>
      </c>
      <c r="Q437" s="13" t="s">
        <v>35</v>
      </c>
      <c r="R437" s="13" t="s">
        <v>35</v>
      </c>
      <c r="S437" s="13" t="s">
        <v>35</v>
      </c>
      <c r="T437" s="13" t="s">
        <v>35</v>
      </c>
    </row>
    <row r="438" spans="1:20" hidden="1">
      <c r="A438" s="9" t="str">
        <f>CONCATENATE($A$436,".",B438)</f>
        <v>3.1.3.18.2</v>
      </c>
      <c r="B438" s="9">
        <f>IF(B437=" ",1,B437+1)</f>
        <v>2</v>
      </c>
      <c r="C438" s="10" t="s">
        <v>549</v>
      </c>
      <c r="D438" s="11" t="s">
        <v>422</v>
      </c>
      <c r="E438" s="11" t="s">
        <v>29</v>
      </c>
      <c r="F438" s="15" t="str">
        <f>IF(Tabla15[[#This Row],[Columna1]]="","actividad","subactividad")</f>
        <v>subactividad</v>
      </c>
      <c r="G438" s="12"/>
      <c r="H438" s="19">
        <f t="shared" si="51"/>
        <v>46226</v>
      </c>
      <c r="I438" s="19">
        <f>IF(Tabla15[[#This Row],[Duracion ideal (dia)]]="",I437,Tabla15[[#This Row],[Inicio ideal]]+Tabla15[[#This Row],[Duracion ideal (dia)]])</f>
        <v>46226</v>
      </c>
      <c r="J438" s="12"/>
      <c r="K438" s="19">
        <f>IF(Tabla15[[#This Row],[Duracion Real (dia)]]="",K437,L437)</f>
        <v>46236</v>
      </c>
      <c r="L438" s="19">
        <f>IF(Tabla15[[#This Row],[Duracion Real (dia)]]="",L437,Tabla15[[#This Row],[Inicio Real]]+Tabla15[[#This Row],[Duracion Real (dia)]])</f>
        <v>46241</v>
      </c>
      <c r="M438" s="12"/>
      <c r="N438" s="19" t="s">
        <v>35</v>
      </c>
      <c r="O438" s="13" t="s">
        <v>35</v>
      </c>
      <c r="P438" s="13" t="s">
        <v>35</v>
      </c>
      <c r="Q438" s="13" t="s">
        <v>35</v>
      </c>
      <c r="R438" s="13" t="s">
        <v>35</v>
      </c>
      <c r="S438" s="13" t="s">
        <v>35</v>
      </c>
      <c r="T438" s="13" t="s">
        <v>35</v>
      </c>
    </row>
    <row r="439" spans="1:20" hidden="1">
      <c r="A439" s="9" t="str">
        <f>CONCATENATE($A$436,".",B439)</f>
        <v>3.1.3.18.3</v>
      </c>
      <c r="B439" s="9">
        <f>IF(B438=" ",1,B438+1)</f>
        <v>3</v>
      </c>
      <c r="C439" s="20" t="s">
        <v>550</v>
      </c>
      <c r="D439" s="15" t="s">
        <v>422</v>
      </c>
      <c r="E439" s="15" t="s">
        <v>29</v>
      </c>
      <c r="F439" s="15" t="str">
        <f>IF(Tabla15[[#This Row],[Columna1]]="","actividad","subactividad")</f>
        <v>subactividad</v>
      </c>
      <c r="G439" s="16"/>
      <c r="H439" s="19">
        <f t="shared" si="51"/>
        <v>46226</v>
      </c>
      <c r="I439" s="19">
        <f>IF(Tabla15[[#This Row],[Duracion ideal (dia)]]="",I438,Tabla15[[#This Row],[Inicio ideal]]+Tabla15[[#This Row],[Duracion ideal (dia)]])</f>
        <v>46226</v>
      </c>
      <c r="J439" s="16"/>
      <c r="K439" s="19">
        <f>IF(Tabla15[[#This Row],[Duracion Real (dia)]]="",K438,L438)</f>
        <v>46236</v>
      </c>
      <c r="L439" s="19">
        <f>IF(Tabla15[[#This Row],[Duracion Real (dia)]]="",L438,Tabla15[[#This Row],[Inicio Real]]+Tabla15[[#This Row],[Duracion Real (dia)]])</f>
        <v>46241</v>
      </c>
      <c r="M439" s="16"/>
      <c r="N439" s="19" t="s">
        <v>35</v>
      </c>
      <c r="O439" s="13" t="s">
        <v>35</v>
      </c>
      <c r="P439" s="13" t="s">
        <v>35</v>
      </c>
      <c r="Q439" s="13" t="s">
        <v>35</v>
      </c>
      <c r="R439" s="13" t="s">
        <v>35</v>
      </c>
      <c r="S439" s="13" t="s">
        <v>35</v>
      </c>
      <c r="T439" s="13" t="s">
        <v>35</v>
      </c>
    </row>
    <row r="440" spans="1:20" hidden="1">
      <c r="A440" s="9" t="str">
        <f>CONCATENATE($A$436,".",B440)</f>
        <v>3.1.3.18.4</v>
      </c>
      <c r="B440" s="9">
        <f>IF(B439=" ",1,B439+1)</f>
        <v>4</v>
      </c>
      <c r="C440" s="10" t="s">
        <v>551</v>
      </c>
      <c r="D440" s="11" t="s">
        <v>422</v>
      </c>
      <c r="E440" s="11" t="s">
        <v>29</v>
      </c>
      <c r="F440" s="15" t="str">
        <f>IF(Tabla15[[#This Row],[Columna1]]="","actividad","subactividad")</f>
        <v>subactividad</v>
      </c>
      <c r="G440" s="12"/>
      <c r="H440" s="19">
        <f t="shared" si="51"/>
        <v>46226</v>
      </c>
      <c r="I440" s="19">
        <f>IF(Tabla15[[#This Row],[Duracion ideal (dia)]]="",I439,Tabla15[[#This Row],[Inicio ideal]]+Tabla15[[#This Row],[Duracion ideal (dia)]])</f>
        <v>46226</v>
      </c>
      <c r="J440" s="12"/>
      <c r="K440" s="19">
        <f>IF(Tabla15[[#This Row],[Duracion Real (dia)]]="",K439,L439)</f>
        <v>46236</v>
      </c>
      <c r="L440" s="19">
        <f>IF(Tabla15[[#This Row],[Duracion Real (dia)]]="",L439,Tabla15[[#This Row],[Inicio Real]]+Tabla15[[#This Row],[Duracion Real (dia)]])</f>
        <v>46241</v>
      </c>
      <c r="M440" s="12"/>
      <c r="N440" s="19" t="s">
        <v>35</v>
      </c>
      <c r="O440" s="13" t="s">
        <v>35</v>
      </c>
      <c r="P440" s="13" t="s">
        <v>35</v>
      </c>
      <c r="Q440" s="13" t="s">
        <v>35</v>
      </c>
      <c r="R440" s="13" t="s">
        <v>35</v>
      </c>
      <c r="S440" s="13" t="s">
        <v>35</v>
      </c>
      <c r="T440" s="13" t="s">
        <v>35</v>
      </c>
    </row>
    <row r="441" spans="1:20" hidden="1">
      <c r="A441" s="9" t="str">
        <f>CONCATENATE($A$436,".",B441)</f>
        <v>3.1.3.18.5</v>
      </c>
      <c r="B441" s="9">
        <f>IF(B440=" ",1,B440+1)</f>
        <v>5</v>
      </c>
      <c r="C441" s="20" t="s">
        <v>552</v>
      </c>
      <c r="D441" s="15" t="s">
        <v>422</v>
      </c>
      <c r="E441" s="15" t="s">
        <v>29</v>
      </c>
      <c r="F441" s="15" t="str">
        <f>IF(Tabla15[[#This Row],[Columna1]]="","actividad","subactividad")</f>
        <v>subactividad</v>
      </c>
      <c r="G441" s="16"/>
      <c r="H441" s="19">
        <f t="shared" si="51"/>
        <v>46226</v>
      </c>
      <c r="I441" s="19">
        <f>IF(Tabla15[[#This Row],[Duracion ideal (dia)]]="",I440,Tabla15[[#This Row],[Inicio ideal]]+Tabla15[[#This Row],[Duracion ideal (dia)]])</f>
        <v>46226</v>
      </c>
      <c r="J441" s="16"/>
      <c r="K441" s="19">
        <f>IF(Tabla15[[#This Row],[Duracion Real (dia)]]="",K440,L440)</f>
        <v>46236</v>
      </c>
      <c r="L441" s="19">
        <f>IF(Tabla15[[#This Row],[Duracion Real (dia)]]="",L440,Tabla15[[#This Row],[Inicio Real]]+Tabla15[[#This Row],[Duracion Real (dia)]])</f>
        <v>46241</v>
      </c>
      <c r="M441" s="16"/>
      <c r="N441" s="19" t="s">
        <v>35</v>
      </c>
      <c r="O441" s="13" t="s">
        <v>35</v>
      </c>
      <c r="P441" s="13" t="s">
        <v>35</v>
      </c>
      <c r="Q441" s="13" t="s">
        <v>35</v>
      </c>
      <c r="R441" s="13" t="s">
        <v>35</v>
      </c>
      <c r="S441" s="13" t="s">
        <v>35</v>
      </c>
      <c r="T441" s="13" t="s">
        <v>35</v>
      </c>
    </row>
    <row r="442" spans="1:20">
      <c r="A442" s="9" t="s">
        <v>553</v>
      </c>
      <c r="B442" s="9"/>
      <c r="C442" s="22" t="s">
        <v>554</v>
      </c>
      <c r="D442" s="11" t="s">
        <v>422</v>
      </c>
      <c r="E442" s="11" t="s">
        <v>29</v>
      </c>
      <c r="F442" s="15" t="str">
        <f>IF(Tabla15[[#This Row],[Columna1]]="","actividad","subactividad")</f>
        <v>actividad</v>
      </c>
      <c r="G442" s="12" t="s">
        <v>209</v>
      </c>
      <c r="H442" s="19">
        <f t="shared" si="51"/>
        <v>46226</v>
      </c>
      <c r="I442" s="19">
        <f>IF(Tabla15[[#This Row],[Duracion ideal (dia)]]="",I441,Tabla15[[#This Row],[Inicio ideal]]+Tabla15[[#This Row],[Duracion ideal (dia)]])</f>
        <v>46232</v>
      </c>
      <c r="J442" s="12">
        <v>6</v>
      </c>
      <c r="K442" s="19">
        <f>IF(Tabla15[[#This Row],[Duracion Real (dia)]]="",K441,L441)</f>
        <v>46241</v>
      </c>
      <c r="L442" s="19">
        <f>IF(Tabla15[[#This Row],[Duracion Real (dia)]]="",L441,Tabla15[[#This Row],[Inicio Real]]+Tabla15[[#This Row],[Duracion Real (dia)]])</f>
        <v>46247</v>
      </c>
      <c r="M442" s="12">
        <v>6</v>
      </c>
      <c r="N442" s="19" t="s">
        <v>60</v>
      </c>
      <c r="O442" s="13">
        <v>496008.07</v>
      </c>
      <c r="P442" s="13">
        <v>9692.2800000000007</v>
      </c>
      <c r="Q442" s="13">
        <v>505700.35000000003</v>
      </c>
      <c r="R442" s="13">
        <v>507078.97000000003</v>
      </c>
      <c r="S442" s="13">
        <v>644810.49100000004</v>
      </c>
      <c r="T442" s="13">
        <v>644810.49100000004</v>
      </c>
    </row>
    <row r="443" spans="1:20" hidden="1">
      <c r="A443" s="9" t="str">
        <f>CONCATENATE($A$442,".",B443)</f>
        <v>3.1.3.19.1</v>
      </c>
      <c r="B443" s="9">
        <f>IF(B442=" ",1,B442+1)</f>
        <v>1</v>
      </c>
      <c r="C443" s="20" t="s">
        <v>555</v>
      </c>
      <c r="D443" s="15" t="s">
        <v>422</v>
      </c>
      <c r="E443" s="15" t="s">
        <v>29</v>
      </c>
      <c r="F443" s="15" t="str">
        <f>IF(Tabla15[[#This Row],[Columna1]]="","actividad","subactividad")</f>
        <v>subactividad</v>
      </c>
      <c r="G443" s="16"/>
      <c r="H443" s="19">
        <f t="shared" si="51"/>
        <v>46232</v>
      </c>
      <c r="I443" s="19">
        <f>IF(Tabla15[[#This Row],[Duracion ideal (dia)]]="",I442,Tabla15[[#This Row],[Inicio ideal]]+Tabla15[[#This Row],[Duracion ideal (dia)]])</f>
        <v>46232</v>
      </c>
      <c r="J443" s="16"/>
      <c r="K443" s="19">
        <f>IF(Tabla15[[#This Row],[Duracion Real (dia)]]="",K442,L442)</f>
        <v>46241</v>
      </c>
      <c r="L443" s="19">
        <f>IF(Tabla15[[#This Row],[Duracion Real (dia)]]="",L442,Tabla15[[#This Row],[Inicio Real]]+Tabla15[[#This Row],[Duracion Real (dia)]])</f>
        <v>46247</v>
      </c>
      <c r="M443" s="16"/>
      <c r="N443" s="19" t="s">
        <v>35</v>
      </c>
      <c r="O443" s="13" t="s">
        <v>35</v>
      </c>
      <c r="P443" s="13" t="s">
        <v>35</v>
      </c>
      <c r="Q443" s="13" t="s">
        <v>35</v>
      </c>
      <c r="R443" s="13" t="s">
        <v>35</v>
      </c>
      <c r="S443" s="13" t="s">
        <v>35</v>
      </c>
      <c r="T443" s="13" t="s">
        <v>35</v>
      </c>
    </row>
    <row r="444" spans="1:20" hidden="1">
      <c r="A444" s="9" t="str">
        <f>CONCATENATE($A$442,".",B444)</f>
        <v>3.1.3.19.2</v>
      </c>
      <c r="B444" s="9">
        <f>IF(B443=" ",1,B443+1)</f>
        <v>2</v>
      </c>
      <c r="C444" s="10" t="s">
        <v>556</v>
      </c>
      <c r="D444" s="11" t="s">
        <v>422</v>
      </c>
      <c r="E444" s="11" t="s">
        <v>29</v>
      </c>
      <c r="F444" s="15" t="str">
        <f>IF(Tabla15[[#This Row],[Columna1]]="","actividad","subactividad")</f>
        <v>subactividad</v>
      </c>
      <c r="G444" s="12"/>
      <c r="H444" s="19">
        <f t="shared" si="51"/>
        <v>46232</v>
      </c>
      <c r="I444" s="19">
        <f>IF(Tabla15[[#This Row],[Duracion ideal (dia)]]="",I443,Tabla15[[#This Row],[Inicio ideal]]+Tabla15[[#This Row],[Duracion ideal (dia)]])</f>
        <v>46232</v>
      </c>
      <c r="J444" s="12"/>
      <c r="K444" s="19">
        <f>IF(Tabla15[[#This Row],[Duracion Real (dia)]]="",K443,L443)</f>
        <v>46241</v>
      </c>
      <c r="L444" s="19">
        <f>IF(Tabla15[[#This Row],[Duracion Real (dia)]]="",L443,Tabla15[[#This Row],[Inicio Real]]+Tabla15[[#This Row],[Duracion Real (dia)]])</f>
        <v>46247</v>
      </c>
      <c r="M444" s="12"/>
      <c r="N444" s="19" t="s">
        <v>35</v>
      </c>
      <c r="O444" s="13" t="s">
        <v>35</v>
      </c>
      <c r="P444" s="13" t="s">
        <v>35</v>
      </c>
      <c r="Q444" s="13" t="s">
        <v>35</v>
      </c>
      <c r="R444" s="13" t="s">
        <v>35</v>
      </c>
      <c r="S444" s="13" t="s">
        <v>35</v>
      </c>
      <c r="T444" s="13" t="s">
        <v>35</v>
      </c>
    </row>
    <row r="445" spans="1:20" hidden="1">
      <c r="A445" s="9" t="str">
        <f>CONCATENATE($A$442,".",B445)</f>
        <v>3.1.3.19.3</v>
      </c>
      <c r="B445" s="9">
        <f>IF(B444=" ",1,B444+1)</f>
        <v>3</v>
      </c>
      <c r="C445" s="20" t="s">
        <v>557</v>
      </c>
      <c r="D445" s="15" t="s">
        <v>422</v>
      </c>
      <c r="E445" s="15" t="s">
        <v>29</v>
      </c>
      <c r="F445" s="15" t="str">
        <f>IF(Tabla15[[#This Row],[Columna1]]="","actividad","subactividad")</f>
        <v>subactividad</v>
      </c>
      <c r="G445" s="16"/>
      <c r="H445" s="19">
        <f t="shared" si="51"/>
        <v>46232</v>
      </c>
      <c r="I445" s="19">
        <f>IF(Tabla15[[#This Row],[Duracion ideal (dia)]]="",I444,Tabla15[[#This Row],[Inicio ideal]]+Tabla15[[#This Row],[Duracion ideal (dia)]])</f>
        <v>46232</v>
      </c>
      <c r="J445" s="16"/>
      <c r="K445" s="19">
        <f>IF(Tabla15[[#This Row],[Duracion Real (dia)]]="",K444,L444)</f>
        <v>46241</v>
      </c>
      <c r="L445" s="19">
        <f>IF(Tabla15[[#This Row],[Duracion Real (dia)]]="",L444,Tabla15[[#This Row],[Inicio Real]]+Tabla15[[#This Row],[Duracion Real (dia)]])</f>
        <v>46247</v>
      </c>
      <c r="M445" s="16"/>
      <c r="N445" s="19" t="s">
        <v>35</v>
      </c>
      <c r="O445" s="13" t="s">
        <v>35</v>
      </c>
      <c r="P445" s="13" t="s">
        <v>35</v>
      </c>
      <c r="Q445" s="13" t="s">
        <v>35</v>
      </c>
      <c r="R445" s="13" t="s">
        <v>35</v>
      </c>
      <c r="S445" s="13" t="s">
        <v>35</v>
      </c>
      <c r="T445" s="13" t="s">
        <v>35</v>
      </c>
    </row>
    <row r="446" spans="1:20" hidden="1">
      <c r="A446" s="9" t="str">
        <f>CONCATENATE($A$442,".",B446)</f>
        <v>3.1.3.19.4</v>
      </c>
      <c r="B446" s="9">
        <f>IF(B445=" ",1,B445+1)</f>
        <v>4</v>
      </c>
      <c r="C446" s="10" t="s">
        <v>558</v>
      </c>
      <c r="D446" s="11" t="s">
        <v>422</v>
      </c>
      <c r="E446" s="11" t="s">
        <v>29</v>
      </c>
      <c r="F446" s="15" t="str">
        <f>IF(Tabla15[[#This Row],[Columna1]]="","actividad","subactividad")</f>
        <v>subactividad</v>
      </c>
      <c r="G446" s="12"/>
      <c r="H446" s="19">
        <f t="shared" si="51"/>
        <v>46232</v>
      </c>
      <c r="I446" s="19">
        <f>IF(Tabla15[[#This Row],[Duracion ideal (dia)]]="",I445,Tabla15[[#This Row],[Inicio ideal]]+Tabla15[[#This Row],[Duracion ideal (dia)]])</f>
        <v>46232</v>
      </c>
      <c r="J446" s="12"/>
      <c r="K446" s="19">
        <f>IF(Tabla15[[#This Row],[Duracion Real (dia)]]="",K445,L445)</f>
        <v>46241</v>
      </c>
      <c r="L446" s="19">
        <f>IF(Tabla15[[#This Row],[Duracion Real (dia)]]="",L445,Tabla15[[#This Row],[Inicio Real]]+Tabla15[[#This Row],[Duracion Real (dia)]])</f>
        <v>46247</v>
      </c>
      <c r="M446" s="12"/>
      <c r="N446" s="19" t="s">
        <v>35</v>
      </c>
      <c r="O446" s="13" t="s">
        <v>35</v>
      </c>
      <c r="P446" s="13" t="s">
        <v>35</v>
      </c>
      <c r="Q446" s="13" t="s">
        <v>35</v>
      </c>
      <c r="R446" s="13" t="s">
        <v>35</v>
      </c>
      <c r="S446" s="13" t="s">
        <v>35</v>
      </c>
      <c r="T446" s="13" t="s">
        <v>35</v>
      </c>
    </row>
    <row r="447" spans="1:20" hidden="1">
      <c r="A447" s="9" t="str">
        <f>CONCATENATE($A$442,".",B447)</f>
        <v>3.1.3.19.5</v>
      </c>
      <c r="B447" s="9">
        <f>IF(B446=" ",1,B446+1)</f>
        <v>5</v>
      </c>
      <c r="C447" s="20" t="s">
        <v>559</v>
      </c>
      <c r="D447" s="15" t="s">
        <v>422</v>
      </c>
      <c r="E447" s="15" t="s">
        <v>29</v>
      </c>
      <c r="F447" s="15" t="str">
        <f>IF(Tabla15[[#This Row],[Columna1]]="","actividad","subactividad")</f>
        <v>subactividad</v>
      </c>
      <c r="G447" s="16"/>
      <c r="H447" s="19">
        <f t="shared" si="51"/>
        <v>46232</v>
      </c>
      <c r="I447" s="19">
        <f>IF(Tabla15[[#This Row],[Duracion ideal (dia)]]="",I446,Tabla15[[#This Row],[Inicio ideal]]+Tabla15[[#This Row],[Duracion ideal (dia)]])</f>
        <v>46232</v>
      </c>
      <c r="J447" s="16"/>
      <c r="K447" s="19">
        <f>IF(Tabla15[[#This Row],[Duracion Real (dia)]]="",K446,L446)</f>
        <v>46241</v>
      </c>
      <c r="L447" s="19">
        <f>IF(Tabla15[[#This Row],[Duracion Real (dia)]]="",L446,Tabla15[[#This Row],[Inicio Real]]+Tabla15[[#This Row],[Duracion Real (dia)]])</f>
        <v>46247</v>
      </c>
      <c r="M447" s="16"/>
      <c r="N447" s="19" t="s">
        <v>35</v>
      </c>
      <c r="O447" s="13" t="s">
        <v>35</v>
      </c>
      <c r="P447" s="13" t="s">
        <v>35</v>
      </c>
      <c r="Q447" s="13" t="s">
        <v>35</v>
      </c>
      <c r="R447" s="13" t="s">
        <v>35</v>
      </c>
      <c r="S447" s="13" t="s">
        <v>35</v>
      </c>
      <c r="T447" s="13" t="s">
        <v>35</v>
      </c>
    </row>
    <row r="448" spans="1:20">
      <c r="A448" s="9" t="s">
        <v>560</v>
      </c>
      <c r="B448" s="9"/>
      <c r="C448" s="22" t="s">
        <v>561</v>
      </c>
      <c r="D448" s="11" t="s">
        <v>422</v>
      </c>
      <c r="E448" s="11" t="s">
        <v>29</v>
      </c>
      <c r="F448" s="15" t="str">
        <f>IF(Tabla15[[#This Row],[Columna1]]="","actividad","subactividad")</f>
        <v>actividad</v>
      </c>
      <c r="G448" s="12" t="s">
        <v>209</v>
      </c>
      <c r="H448" s="19">
        <f t="shared" si="51"/>
        <v>46232</v>
      </c>
      <c r="I448" s="19">
        <f>IF(Tabla15[[#This Row],[Duracion ideal (dia)]]="",I447,Tabla15[[#This Row],[Inicio ideal]]+Tabla15[[#This Row],[Duracion ideal (dia)]])</f>
        <v>46239</v>
      </c>
      <c r="J448" s="12">
        <v>7</v>
      </c>
      <c r="K448" s="19">
        <f>IF(Tabla15[[#This Row],[Duracion Real (dia)]]="",K447,L447)</f>
        <v>46247</v>
      </c>
      <c r="L448" s="19">
        <f>IF(Tabla15[[#This Row],[Duracion Real (dia)]]="",L447,Tabla15[[#This Row],[Inicio Real]]+Tabla15[[#This Row],[Duracion Real (dia)]])</f>
        <v>46254</v>
      </c>
      <c r="M448" s="12">
        <v>7</v>
      </c>
      <c r="N448" s="19" t="s">
        <v>88</v>
      </c>
      <c r="O448" s="13">
        <v>657845.65</v>
      </c>
      <c r="P448" s="13">
        <v>11307.66</v>
      </c>
      <c r="Q448" s="13">
        <v>669153.31000000006</v>
      </c>
      <c r="R448" s="13">
        <v>665922.6</v>
      </c>
      <c r="S448" s="13">
        <v>855199.34500000009</v>
      </c>
      <c r="T448" s="13">
        <v>855199.34500000009</v>
      </c>
    </row>
    <row r="449" spans="1:20" hidden="1">
      <c r="A449" s="9" t="str">
        <f>CONCATENATE($A$448,".",B449)</f>
        <v>3.1.3.20.1</v>
      </c>
      <c r="B449" s="9">
        <f>IF(B448=" ",1,B448+1)</f>
        <v>1</v>
      </c>
      <c r="C449" s="20" t="s">
        <v>562</v>
      </c>
      <c r="D449" s="15" t="s">
        <v>422</v>
      </c>
      <c r="E449" s="15" t="s">
        <v>29</v>
      </c>
      <c r="F449" s="15" t="str">
        <f>IF(Tabla15[[#This Row],[Columna1]]="","actividad","subactividad")</f>
        <v>subactividad</v>
      </c>
      <c r="G449" s="16"/>
      <c r="H449" s="19">
        <f t="shared" si="51"/>
        <v>46239</v>
      </c>
      <c r="I449" s="19">
        <f>IF(Tabla15[[#This Row],[Duracion ideal (dia)]]="",I448,Tabla15[[#This Row],[Inicio ideal]]+Tabla15[[#This Row],[Duracion ideal (dia)]])</f>
        <v>46239</v>
      </c>
      <c r="J449" s="16"/>
      <c r="K449" s="19">
        <f>IF(Tabla15[[#This Row],[Duracion Real (dia)]]="",K448,L448)</f>
        <v>46247</v>
      </c>
      <c r="L449" s="19">
        <f>IF(Tabla15[[#This Row],[Duracion Real (dia)]]="",L448,Tabla15[[#This Row],[Inicio Real]]+Tabla15[[#This Row],[Duracion Real (dia)]])</f>
        <v>46254</v>
      </c>
      <c r="M449" s="16"/>
      <c r="N449" s="19" t="s">
        <v>35</v>
      </c>
      <c r="O449" s="13" t="s">
        <v>35</v>
      </c>
      <c r="P449" s="13" t="s">
        <v>35</v>
      </c>
      <c r="Q449" s="13" t="s">
        <v>35</v>
      </c>
      <c r="R449" s="13" t="s">
        <v>35</v>
      </c>
      <c r="S449" s="13" t="s">
        <v>35</v>
      </c>
      <c r="T449" s="13" t="s">
        <v>35</v>
      </c>
    </row>
    <row r="450" spans="1:20" hidden="1">
      <c r="A450" s="9" t="str">
        <f>CONCATENATE($A$448,".",B450)</f>
        <v>3.1.3.20.2</v>
      </c>
      <c r="B450" s="9">
        <f>IF(B449=" ",1,B449+1)</f>
        <v>2</v>
      </c>
      <c r="C450" s="10" t="s">
        <v>563</v>
      </c>
      <c r="D450" s="11" t="s">
        <v>422</v>
      </c>
      <c r="E450" s="11" t="s">
        <v>29</v>
      </c>
      <c r="F450" s="15" t="str">
        <f>IF(Tabla15[[#This Row],[Columna1]]="","actividad","subactividad")</f>
        <v>subactividad</v>
      </c>
      <c r="G450" s="12"/>
      <c r="H450" s="19">
        <f t="shared" si="51"/>
        <v>46239</v>
      </c>
      <c r="I450" s="19">
        <f>IF(Tabla15[[#This Row],[Duracion ideal (dia)]]="",I449,Tabla15[[#This Row],[Inicio ideal]]+Tabla15[[#This Row],[Duracion ideal (dia)]])</f>
        <v>46239</v>
      </c>
      <c r="J450" s="12"/>
      <c r="K450" s="19">
        <f>IF(Tabla15[[#This Row],[Duracion Real (dia)]]="",K449,L449)</f>
        <v>46247</v>
      </c>
      <c r="L450" s="19">
        <f>IF(Tabla15[[#This Row],[Duracion Real (dia)]]="",L449,Tabla15[[#This Row],[Inicio Real]]+Tabla15[[#This Row],[Duracion Real (dia)]])</f>
        <v>46254</v>
      </c>
      <c r="M450" s="12"/>
      <c r="N450" s="19" t="s">
        <v>35</v>
      </c>
      <c r="O450" s="13" t="s">
        <v>35</v>
      </c>
      <c r="P450" s="13" t="s">
        <v>35</v>
      </c>
      <c r="Q450" s="13" t="s">
        <v>35</v>
      </c>
      <c r="R450" s="13" t="s">
        <v>35</v>
      </c>
      <c r="S450" s="13" t="s">
        <v>35</v>
      </c>
      <c r="T450" s="13" t="s">
        <v>35</v>
      </c>
    </row>
    <row r="451" spans="1:20" hidden="1">
      <c r="A451" s="9" t="str">
        <f>CONCATENATE($A$448,".",B451)</f>
        <v>3.1.3.20.3</v>
      </c>
      <c r="B451" s="9">
        <f>IF(B450=" ",1,B450+1)</f>
        <v>3</v>
      </c>
      <c r="C451" s="20" t="s">
        <v>564</v>
      </c>
      <c r="D451" s="15" t="s">
        <v>422</v>
      </c>
      <c r="E451" s="15" t="s">
        <v>29</v>
      </c>
      <c r="F451" s="15" t="str">
        <f>IF(Tabla15[[#This Row],[Columna1]]="","actividad","subactividad")</f>
        <v>subactividad</v>
      </c>
      <c r="G451" s="16"/>
      <c r="H451" s="19">
        <f t="shared" si="51"/>
        <v>46239</v>
      </c>
      <c r="I451" s="19">
        <f>IF(Tabla15[[#This Row],[Duracion ideal (dia)]]="",I450,Tabla15[[#This Row],[Inicio ideal]]+Tabla15[[#This Row],[Duracion ideal (dia)]])</f>
        <v>46239</v>
      </c>
      <c r="J451" s="16"/>
      <c r="K451" s="19">
        <f>IF(Tabla15[[#This Row],[Duracion Real (dia)]]="",K450,L450)</f>
        <v>46247</v>
      </c>
      <c r="L451" s="19">
        <f>IF(Tabla15[[#This Row],[Duracion Real (dia)]]="",L450,Tabla15[[#This Row],[Inicio Real]]+Tabla15[[#This Row],[Duracion Real (dia)]])</f>
        <v>46254</v>
      </c>
      <c r="M451" s="16"/>
      <c r="N451" s="19" t="s">
        <v>35</v>
      </c>
      <c r="O451" s="13" t="s">
        <v>35</v>
      </c>
      <c r="P451" s="13" t="s">
        <v>35</v>
      </c>
      <c r="Q451" s="13" t="s">
        <v>35</v>
      </c>
      <c r="R451" s="13" t="s">
        <v>35</v>
      </c>
      <c r="S451" s="13" t="s">
        <v>35</v>
      </c>
      <c r="T451" s="13" t="s">
        <v>35</v>
      </c>
    </row>
    <row r="452" spans="1:20" hidden="1">
      <c r="A452" s="9" t="str">
        <f>CONCATENATE($A$448,".",B452)</f>
        <v>3.1.3.20.4</v>
      </c>
      <c r="B452" s="9">
        <f>IF(B451=" ",1,B451+1)</f>
        <v>4</v>
      </c>
      <c r="C452" s="10" t="s">
        <v>565</v>
      </c>
      <c r="D452" s="11" t="s">
        <v>422</v>
      </c>
      <c r="E452" s="11" t="s">
        <v>29</v>
      </c>
      <c r="F452" s="15" t="str">
        <f>IF(Tabla15[[#This Row],[Columna1]]="","actividad","subactividad")</f>
        <v>subactividad</v>
      </c>
      <c r="G452" s="12"/>
      <c r="H452" s="19">
        <f t="shared" si="51"/>
        <v>46239</v>
      </c>
      <c r="I452" s="19">
        <f>IF(Tabla15[[#This Row],[Duracion ideal (dia)]]="",I451,Tabla15[[#This Row],[Inicio ideal]]+Tabla15[[#This Row],[Duracion ideal (dia)]])</f>
        <v>46239</v>
      </c>
      <c r="J452" s="12"/>
      <c r="K452" s="19">
        <f>IF(Tabla15[[#This Row],[Duracion Real (dia)]]="",K451,L451)</f>
        <v>46247</v>
      </c>
      <c r="L452" s="19">
        <f>IF(Tabla15[[#This Row],[Duracion Real (dia)]]="",L451,Tabla15[[#This Row],[Inicio Real]]+Tabla15[[#This Row],[Duracion Real (dia)]])</f>
        <v>46254</v>
      </c>
      <c r="M452" s="12"/>
      <c r="N452" s="19" t="s">
        <v>35</v>
      </c>
      <c r="O452" s="13" t="s">
        <v>35</v>
      </c>
      <c r="P452" s="13" t="s">
        <v>35</v>
      </c>
      <c r="Q452" s="13" t="s">
        <v>35</v>
      </c>
      <c r="R452" s="13" t="s">
        <v>35</v>
      </c>
      <c r="S452" s="13" t="s">
        <v>35</v>
      </c>
      <c r="T452" s="13" t="s">
        <v>35</v>
      </c>
    </row>
    <row r="453" spans="1:20" hidden="1">
      <c r="A453" s="9" t="str">
        <f>CONCATENATE($A$448,".",B453)</f>
        <v>3.1.3.20.5</v>
      </c>
      <c r="B453" s="9">
        <f>IF(B452=" ",1,B452+1)</f>
        <v>5</v>
      </c>
      <c r="C453" s="20" t="s">
        <v>566</v>
      </c>
      <c r="D453" s="15" t="s">
        <v>422</v>
      </c>
      <c r="E453" s="15" t="s">
        <v>29</v>
      </c>
      <c r="F453" s="15" t="str">
        <f>IF(Tabla15[[#This Row],[Columna1]]="","actividad","subactividad")</f>
        <v>subactividad</v>
      </c>
      <c r="G453" s="16"/>
      <c r="H453" s="19">
        <f t="shared" si="51"/>
        <v>46239</v>
      </c>
      <c r="I453" s="19">
        <f>IF(Tabla15[[#This Row],[Duracion ideal (dia)]]="",I452,Tabla15[[#This Row],[Inicio ideal]]+Tabla15[[#This Row],[Duracion ideal (dia)]])</f>
        <v>46239</v>
      </c>
      <c r="J453" s="16"/>
      <c r="K453" s="19">
        <f>IF(Tabla15[[#This Row],[Duracion Real (dia)]]="",K452,L452)</f>
        <v>46247</v>
      </c>
      <c r="L453" s="19">
        <f>IF(Tabla15[[#This Row],[Duracion Real (dia)]]="",L452,Tabla15[[#This Row],[Inicio Real]]+Tabla15[[#This Row],[Duracion Real (dia)]])</f>
        <v>46254</v>
      </c>
      <c r="M453" s="16"/>
      <c r="N453" s="19" t="s">
        <v>35</v>
      </c>
      <c r="O453" s="13" t="s">
        <v>35</v>
      </c>
      <c r="P453" s="13" t="s">
        <v>35</v>
      </c>
      <c r="Q453" s="13" t="s">
        <v>35</v>
      </c>
      <c r="R453" s="13" t="s">
        <v>35</v>
      </c>
      <c r="S453" s="13" t="s">
        <v>35</v>
      </c>
      <c r="T453" s="13" t="s">
        <v>35</v>
      </c>
    </row>
    <row r="454" spans="1:20">
      <c r="A454" s="9" t="s">
        <v>567</v>
      </c>
      <c r="B454" s="9"/>
      <c r="C454" s="22" t="s">
        <v>568</v>
      </c>
      <c r="D454" s="11" t="s">
        <v>422</v>
      </c>
      <c r="E454" s="11" t="s">
        <v>29</v>
      </c>
      <c r="F454" s="15" t="str">
        <f>IF(Tabla15[[#This Row],[Columna1]]="","actividad","subactividad")</f>
        <v>actividad</v>
      </c>
      <c r="G454" s="12" t="s">
        <v>209</v>
      </c>
      <c r="H454" s="19">
        <f t="shared" si="51"/>
        <v>46239</v>
      </c>
      <c r="I454" s="19">
        <f>IF(Tabla15[[#This Row],[Duracion ideal (dia)]]="",I453,Tabla15[[#This Row],[Inicio ideal]]+Tabla15[[#This Row],[Duracion ideal (dia)]])</f>
        <v>46241</v>
      </c>
      <c r="J454" s="12">
        <v>2</v>
      </c>
      <c r="K454" s="19">
        <f>IF(Tabla15[[#This Row],[Duracion Real (dia)]]="",K453,L453)</f>
        <v>46254</v>
      </c>
      <c r="L454" s="19">
        <f>IF(Tabla15[[#This Row],[Duracion Real (dia)]]="",L453,Tabla15[[#This Row],[Inicio Real]]+Tabla15[[#This Row],[Duracion Real (dia)]])</f>
        <v>46256</v>
      </c>
      <c r="M454" s="12">
        <v>2</v>
      </c>
      <c r="N454" s="19" t="s">
        <v>88</v>
      </c>
      <c r="O454" s="13">
        <v>250323.51</v>
      </c>
      <c r="P454" s="13">
        <v>3230.76</v>
      </c>
      <c r="Q454" s="13">
        <v>253554.27000000002</v>
      </c>
      <c r="R454" s="13">
        <v>252631.21000000002</v>
      </c>
      <c r="S454" s="13">
        <v>325420.56300000002</v>
      </c>
      <c r="T454" s="13">
        <v>325420.56300000002</v>
      </c>
    </row>
    <row r="455" spans="1:20" hidden="1">
      <c r="A455" s="9" t="str">
        <f>CONCATENATE($A$454,".",B455)</f>
        <v>3.1.3.21.1</v>
      </c>
      <c r="B455" s="9">
        <f>IF(B454=" ",1,B454+1)</f>
        <v>1</v>
      </c>
      <c r="C455" s="20" t="s">
        <v>569</v>
      </c>
      <c r="D455" s="15" t="s">
        <v>422</v>
      </c>
      <c r="E455" s="15" t="s">
        <v>29</v>
      </c>
      <c r="F455" s="15" t="str">
        <f>IF(Tabla15[[#This Row],[Columna1]]="","actividad","subactividad")</f>
        <v>subactividad</v>
      </c>
      <c r="G455" s="16"/>
      <c r="H455" s="19">
        <f t="shared" si="51"/>
        <v>46241</v>
      </c>
      <c r="I455" s="19">
        <f>IF(Tabla15[[#This Row],[Duracion ideal (dia)]]="",I454,Tabla15[[#This Row],[Inicio ideal]]+Tabla15[[#This Row],[Duracion ideal (dia)]])</f>
        <v>46241</v>
      </c>
      <c r="J455" s="16"/>
      <c r="K455" s="19">
        <f>IF(Tabla15[[#This Row],[Duracion Real (dia)]]="",K454,L454)</f>
        <v>46254</v>
      </c>
      <c r="L455" s="19">
        <f>IF(Tabla15[[#This Row],[Duracion Real (dia)]]="",L454,Tabla15[[#This Row],[Inicio Real]]+Tabla15[[#This Row],[Duracion Real (dia)]])</f>
        <v>46256</v>
      </c>
      <c r="M455" s="16"/>
      <c r="N455" s="19" t="s">
        <v>35</v>
      </c>
      <c r="O455" s="13" t="s">
        <v>35</v>
      </c>
      <c r="P455" s="13" t="s">
        <v>35</v>
      </c>
      <c r="Q455" s="13" t="s">
        <v>35</v>
      </c>
      <c r="R455" s="13" t="s">
        <v>35</v>
      </c>
      <c r="S455" s="13" t="s">
        <v>35</v>
      </c>
      <c r="T455" s="13" t="s">
        <v>35</v>
      </c>
    </row>
    <row r="456" spans="1:20" hidden="1">
      <c r="A456" s="9" t="str">
        <f>CONCATENATE($A$454,".",B456)</f>
        <v>3.1.3.21.2</v>
      </c>
      <c r="B456" s="9">
        <f>IF(B455=" ",1,B455+1)</f>
        <v>2</v>
      </c>
      <c r="C456" s="10" t="s">
        <v>570</v>
      </c>
      <c r="D456" s="11" t="s">
        <v>422</v>
      </c>
      <c r="E456" s="11" t="s">
        <v>29</v>
      </c>
      <c r="F456" s="15" t="str">
        <f>IF(Tabla15[[#This Row],[Columna1]]="","actividad","subactividad")</f>
        <v>subactividad</v>
      </c>
      <c r="G456" s="12"/>
      <c r="H456" s="19">
        <f t="shared" si="51"/>
        <v>46241</v>
      </c>
      <c r="I456" s="19">
        <f>IF(Tabla15[[#This Row],[Duracion ideal (dia)]]="",I455,Tabla15[[#This Row],[Inicio ideal]]+Tabla15[[#This Row],[Duracion ideal (dia)]])</f>
        <v>46241</v>
      </c>
      <c r="J456" s="12"/>
      <c r="K456" s="19">
        <f>IF(Tabla15[[#This Row],[Duracion Real (dia)]]="",K455,L455)</f>
        <v>46254</v>
      </c>
      <c r="L456" s="19">
        <f>IF(Tabla15[[#This Row],[Duracion Real (dia)]]="",L455,Tabla15[[#This Row],[Inicio Real]]+Tabla15[[#This Row],[Duracion Real (dia)]])</f>
        <v>46256</v>
      </c>
      <c r="M456" s="12"/>
      <c r="N456" s="19" t="s">
        <v>35</v>
      </c>
      <c r="O456" s="13" t="s">
        <v>35</v>
      </c>
      <c r="P456" s="13" t="s">
        <v>35</v>
      </c>
      <c r="Q456" s="13" t="s">
        <v>35</v>
      </c>
      <c r="R456" s="13" t="s">
        <v>35</v>
      </c>
      <c r="S456" s="13" t="s">
        <v>35</v>
      </c>
      <c r="T456" s="13" t="s">
        <v>35</v>
      </c>
    </row>
    <row r="457" spans="1:20" hidden="1">
      <c r="A457" s="9" t="str">
        <f>CONCATENATE($A$454,".",B457)</f>
        <v>3.1.3.21.3</v>
      </c>
      <c r="B457" s="9">
        <f>IF(B456=" ",1,B456+1)</f>
        <v>3</v>
      </c>
      <c r="C457" s="20" t="s">
        <v>571</v>
      </c>
      <c r="D457" s="15" t="s">
        <v>422</v>
      </c>
      <c r="E457" s="15" t="s">
        <v>29</v>
      </c>
      <c r="F457" s="15" t="str">
        <f>IF(Tabla15[[#This Row],[Columna1]]="","actividad","subactividad")</f>
        <v>subactividad</v>
      </c>
      <c r="G457" s="16"/>
      <c r="H457" s="19">
        <f t="shared" si="51"/>
        <v>46241</v>
      </c>
      <c r="I457" s="19">
        <f>IF(Tabla15[[#This Row],[Duracion ideal (dia)]]="",I456,Tabla15[[#This Row],[Inicio ideal]]+Tabla15[[#This Row],[Duracion ideal (dia)]])</f>
        <v>46241</v>
      </c>
      <c r="J457" s="16"/>
      <c r="K457" s="19">
        <f>IF(Tabla15[[#This Row],[Duracion Real (dia)]]="",K456,L456)</f>
        <v>46254</v>
      </c>
      <c r="L457" s="19">
        <f>IF(Tabla15[[#This Row],[Duracion Real (dia)]]="",L456,Tabla15[[#This Row],[Inicio Real]]+Tabla15[[#This Row],[Duracion Real (dia)]])</f>
        <v>46256</v>
      </c>
      <c r="M457" s="16"/>
      <c r="N457" s="19" t="s">
        <v>35</v>
      </c>
      <c r="O457" s="13" t="s">
        <v>35</v>
      </c>
      <c r="P457" s="13" t="s">
        <v>35</v>
      </c>
      <c r="Q457" s="13" t="s">
        <v>35</v>
      </c>
      <c r="R457" s="13" t="s">
        <v>35</v>
      </c>
      <c r="S457" s="13" t="s">
        <v>35</v>
      </c>
      <c r="T457" s="13" t="s">
        <v>35</v>
      </c>
    </row>
    <row r="458" spans="1:20" hidden="1">
      <c r="A458" s="9" t="str">
        <f>CONCATENATE($A$454,".",B458)</f>
        <v>3.1.3.21.4</v>
      </c>
      <c r="B458" s="9">
        <f>IF(B457=" ",1,B457+1)</f>
        <v>4</v>
      </c>
      <c r="C458" s="10" t="s">
        <v>572</v>
      </c>
      <c r="D458" s="11" t="s">
        <v>422</v>
      </c>
      <c r="E458" s="11" t="s">
        <v>29</v>
      </c>
      <c r="F458" s="15" t="str">
        <f>IF(Tabla15[[#This Row],[Columna1]]="","actividad","subactividad")</f>
        <v>subactividad</v>
      </c>
      <c r="G458" s="12"/>
      <c r="H458" s="19">
        <f t="shared" si="51"/>
        <v>46241</v>
      </c>
      <c r="I458" s="19">
        <f>IF(Tabla15[[#This Row],[Duracion ideal (dia)]]="",I457,Tabla15[[#This Row],[Inicio ideal]]+Tabla15[[#This Row],[Duracion ideal (dia)]])</f>
        <v>46241</v>
      </c>
      <c r="J458" s="12"/>
      <c r="K458" s="19">
        <f>IF(Tabla15[[#This Row],[Duracion Real (dia)]]="",K457,L457)</f>
        <v>46254</v>
      </c>
      <c r="L458" s="19">
        <f>IF(Tabla15[[#This Row],[Duracion Real (dia)]]="",L457,Tabla15[[#This Row],[Inicio Real]]+Tabla15[[#This Row],[Duracion Real (dia)]])</f>
        <v>46256</v>
      </c>
      <c r="M458" s="12"/>
      <c r="N458" s="19" t="s">
        <v>35</v>
      </c>
      <c r="O458" s="13" t="s">
        <v>35</v>
      </c>
      <c r="P458" s="13" t="s">
        <v>35</v>
      </c>
      <c r="Q458" s="13" t="s">
        <v>35</v>
      </c>
      <c r="R458" s="13" t="s">
        <v>35</v>
      </c>
      <c r="S458" s="13" t="s">
        <v>35</v>
      </c>
      <c r="T458" s="13" t="s">
        <v>35</v>
      </c>
    </row>
    <row r="459" spans="1:20" hidden="1">
      <c r="A459" s="9" t="str">
        <f>CONCATENATE($A$454,".",B459)</f>
        <v>3.1.3.21.5</v>
      </c>
      <c r="B459" s="9">
        <f>IF(B458=" ",1,B458+1)</f>
        <v>5</v>
      </c>
      <c r="C459" s="20" t="s">
        <v>573</v>
      </c>
      <c r="D459" s="15" t="s">
        <v>422</v>
      </c>
      <c r="E459" s="15" t="s">
        <v>29</v>
      </c>
      <c r="F459" s="15" t="str">
        <f>IF(Tabla15[[#This Row],[Columna1]]="","actividad","subactividad")</f>
        <v>subactividad</v>
      </c>
      <c r="G459" s="16"/>
      <c r="H459" s="19">
        <f t="shared" si="51"/>
        <v>46241</v>
      </c>
      <c r="I459" s="19">
        <f>IF(Tabla15[[#This Row],[Duracion ideal (dia)]]="",I458,Tabla15[[#This Row],[Inicio ideal]]+Tabla15[[#This Row],[Duracion ideal (dia)]])</f>
        <v>46241</v>
      </c>
      <c r="J459" s="16"/>
      <c r="K459" s="19">
        <f>IF(Tabla15[[#This Row],[Duracion Real (dia)]]="",K458,L458)</f>
        <v>46254</v>
      </c>
      <c r="L459" s="19">
        <f>IF(Tabla15[[#This Row],[Duracion Real (dia)]]="",L458,Tabla15[[#This Row],[Inicio Real]]+Tabla15[[#This Row],[Duracion Real (dia)]])</f>
        <v>46256</v>
      </c>
      <c r="M459" s="16"/>
      <c r="N459" s="19" t="s">
        <v>35</v>
      </c>
      <c r="O459" s="13" t="s">
        <v>35</v>
      </c>
      <c r="P459" s="13" t="s">
        <v>35</v>
      </c>
      <c r="Q459" s="13" t="s">
        <v>35</v>
      </c>
      <c r="R459" s="13" t="s">
        <v>35</v>
      </c>
      <c r="S459" s="13" t="s">
        <v>35</v>
      </c>
      <c r="T459" s="13" t="s">
        <v>35</v>
      </c>
    </row>
    <row r="460" spans="1:20">
      <c r="A460" s="9" t="s">
        <v>574</v>
      </c>
      <c r="B460" s="9"/>
      <c r="C460" s="22" t="s">
        <v>575</v>
      </c>
      <c r="D460" s="11" t="s">
        <v>422</v>
      </c>
      <c r="E460" s="11" t="s">
        <v>29</v>
      </c>
      <c r="F460" s="15" t="str">
        <f>IF(Tabla15[[#This Row],[Columna1]]="","actividad","subactividad")</f>
        <v>actividad</v>
      </c>
      <c r="G460" s="12" t="s">
        <v>209</v>
      </c>
      <c r="H460" s="19">
        <f t="shared" si="51"/>
        <v>46241</v>
      </c>
      <c r="I460" s="19">
        <f>IF(Tabla15[[#This Row],[Duracion ideal (dia)]]="",I459,Tabla15[[#This Row],[Inicio ideal]]+Tabla15[[#This Row],[Duracion ideal (dia)]])</f>
        <v>46242</v>
      </c>
      <c r="J460" s="12">
        <v>1</v>
      </c>
      <c r="K460" s="19">
        <f>IF(Tabla15[[#This Row],[Duracion Real (dia)]]="",K459,L459)</f>
        <v>46256</v>
      </c>
      <c r="L460" s="19">
        <f>IF(Tabla15[[#This Row],[Duracion Real (dia)]]="",L459,Tabla15[[#This Row],[Inicio Real]]+Tabla15[[#This Row],[Duracion Real (dia)]])</f>
        <v>46260</v>
      </c>
      <c r="M460" s="12">
        <v>4</v>
      </c>
      <c r="N460" s="19" t="s">
        <v>60</v>
      </c>
      <c r="O460" s="13">
        <v>250323.51</v>
      </c>
      <c r="P460" s="13">
        <v>1153.8499999999999</v>
      </c>
      <c r="Q460" s="13">
        <v>251477.36000000002</v>
      </c>
      <c r="R460" s="13">
        <v>252168.66</v>
      </c>
      <c r="S460" s="13">
        <v>325420.56300000002</v>
      </c>
      <c r="T460" s="13">
        <v>325420.56300000002</v>
      </c>
    </row>
    <row r="461" spans="1:20" hidden="1">
      <c r="A461" s="9" t="str">
        <f>CONCATENATE($A$460,".",B461)</f>
        <v>3.1.3.22.1</v>
      </c>
      <c r="B461" s="9">
        <f>IF(B460=" ",1,B460+1)</f>
        <v>1</v>
      </c>
      <c r="C461" s="20" t="s">
        <v>576</v>
      </c>
      <c r="D461" s="15" t="s">
        <v>422</v>
      </c>
      <c r="E461" s="15" t="s">
        <v>29</v>
      </c>
      <c r="F461" s="15" t="str">
        <f>IF(Tabla15[[#This Row],[Columna1]]="","actividad","subactividad")</f>
        <v>subactividad</v>
      </c>
      <c r="G461" s="16"/>
      <c r="H461" s="19">
        <f t="shared" si="51"/>
        <v>46242</v>
      </c>
      <c r="I461" s="19">
        <f>IF(Tabla15[[#This Row],[Duracion ideal (dia)]]="",I460,Tabla15[[#This Row],[Inicio ideal]]+Tabla15[[#This Row],[Duracion ideal (dia)]])</f>
        <v>46242</v>
      </c>
      <c r="J461" s="16"/>
      <c r="K461" s="19">
        <f>IF(Tabla15[[#This Row],[Duracion Real (dia)]]="",K460,L460)</f>
        <v>46256</v>
      </c>
      <c r="L461" s="19">
        <f>IF(Tabla15[[#This Row],[Duracion Real (dia)]]="",L460,Tabla15[[#This Row],[Inicio Real]]+Tabla15[[#This Row],[Duracion Real (dia)]])</f>
        <v>46260</v>
      </c>
      <c r="M461" s="16"/>
      <c r="N461" s="19" t="s">
        <v>35</v>
      </c>
      <c r="O461" s="13" t="s">
        <v>35</v>
      </c>
      <c r="P461" s="13" t="s">
        <v>35</v>
      </c>
      <c r="Q461" s="13" t="s">
        <v>35</v>
      </c>
      <c r="R461" s="13" t="s">
        <v>35</v>
      </c>
      <c r="S461" s="13" t="s">
        <v>35</v>
      </c>
      <c r="T461" s="13" t="s">
        <v>35</v>
      </c>
    </row>
    <row r="462" spans="1:20" hidden="1">
      <c r="A462" s="9" t="str">
        <f>CONCATENATE($A$460,".",B462)</f>
        <v>3.1.3.22.2</v>
      </c>
      <c r="B462" s="9">
        <f>IF(B461=" ",1,B461+1)</f>
        <v>2</v>
      </c>
      <c r="C462" s="10" t="s">
        <v>577</v>
      </c>
      <c r="D462" s="11" t="s">
        <v>422</v>
      </c>
      <c r="E462" s="11" t="s">
        <v>29</v>
      </c>
      <c r="F462" s="15" t="str">
        <f>IF(Tabla15[[#This Row],[Columna1]]="","actividad","subactividad")</f>
        <v>subactividad</v>
      </c>
      <c r="G462" s="12"/>
      <c r="H462" s="19">
        <f t="shared" si="51"/>
        <v>46242</v>
      </c>
      <c r="I462" s="19">
        <f>IF(Tabla15[[#This Row],[Duracion ideal (dia)]]="",I461,Tabla15[[#This Row],[Inicio ideal]]+Tabla15[[#This Row],[Duracion ideal (dia)]])</f>
        <v>46242</v>
      </c>
      <c r="J462" s="12"/>
      <c r="K462" s="19">
        <f>IF(Tabla15[[#This Row],[Duracion Real (dia)]]="",K461,L461)</f>
        <v>46256</v>
      </c>
      <c r="L462" s="19">
        <f>IF(Tabla15[[#This Row],[Duracion Real (dia)]]="",L461,Tabla15[[#This Row],[Inicio Real]]+Tabla15[[#This Row],[Duracion Real (dia)]])</f>
        <v>46260</v>
      </c>
      <c r="M462" s="12"/>
      <c r="N462" s="19" t="s">
        <v>35</v>
      </c>
      <c r="O462" s="13" t="s">
        <v>35</v>
      </c>
      <c r="P462" s="13" t="s">
        <v>35</v>
      </c>
      <c r="Q462" s="13" t="s">
        <v>35</v>
      </c>
      <c r="R462" s="13" t="s">
        <v>35</v>
      </c>
      <c r="S462" s="13" t="s">
        <v>35</v>
      </c>
      <c r="T462" s="13" t="s">
        <v>35</v>
      </c>
    </row>
    <row r="463" spans="1:20" hidden="1">
      <c r="A463" s="9" t="str">
        <f>CONCATENATE($A$460,".",B463)</f>
        <v>3.1.3.22.3</v>
      </c>
      <c r="B463" s="9">
        <f>IF(B462=" ",1,B462+1)</f>
        <v>3</v>
      </c>
      <c r="C463" s="20" t="s">
        <v>578</v>
      </c>
      <c r="D463" s="15" t="s">
        <v>422</v>
      </c>
      <c r="E463" s="15" t="s">
        <v>29</v>
      </c>
      <c r="F463" s="15" t="str">
        <f>IF(Tabla15[[#This Row],[Columna1]]="","actividad","subactividad")</f>
        <v>subactividad</v>
      </c>
      <c r="G463" s="16"/>
      <c r="H463" s="19">
        <f t="shared" si="51"/>
        <v>46242</v>
      </c>
      <c r="I463" s="19">
        <f>IF(Tabla15[[#This Row],[Duracion ideal (dia)]]="",I462,Tabla15[[#This Row],[Inicio ideal]]+Tabla15[[#This Row],[Duracion ideal (dia)]])</f>
        <v>46242</v>
      </c>
      <c r="J463" s="16"/>
      <c r="K463" s="19">
        <f>IF(Tabla15[[#This Row],[Duracion Real (dia)]]="",K462,L462)</f>
        <v>46256</v>
      </c>
      <c r="L463" s="19">
        <f>IF(Tabla15[[#This Row],[Duracion Real (dia)]]="",L462,Tabla15[[#This Row],[Inicio Real]]+Tabla15[[#This Row],[Duracion Real (dia)]])</f>
        <v>46260</v>
      </c>
      <c r="M463" s="16"/>
      <c r="N463" s="19" t="s">
        <v>35</v>
      </c>
      <c r="O463" s="13" t="s">
        <v>35</v>
      </c>
      <c r="P463" s="13" t="s">
        <v>35</v>
      </c>
      <c r="Q463" s="13" t="s">
        <v>35</v>
      </c>
      <c r="R463" s="13" t="s">
        <v>35</v>
      </c>
      <c r="S463" s="13" t="s">
        <v>35</v>
      </c>
      <c r="T463" s="13" t="s">
        <v>35</v>
      </c>
    </row>
    <row r="464" spans="1:20" hidden="1">
      <c r="A464" s="9" t="str">
        <f>CONCATENATE($A$460,".",B464)</f>
        <v>3.1.3.22.4</v>
      </c>
      <c r="B464" s="9">
        <f>IF(B463=" ",1,B463+1)</f>
        <v>4</v>
      </c>
      <c r="C464" s="10" t="s">
        <v>579</v>
      </c>
      <c r="D464" s="11" t="s">
        <v>422</v>
      </c>
      <c r="E464" s="11" t="s">
        <v>29</v>
      </c>
      <c r="F464" s="15" t="str">
        <f>IF(Tabla15[[#This Row],[Columna1]]="","actividad","subactividad")</f>
        <v>subactividad</v>
      </c>
      <c r="G464" s="12"/>
      <c r="H464" s="19">
        <f t="shared" si="51"/>
        <v>46242</v>
      </c>
      <c r="I464" s="19">
        <f>IF(Tabla15[[#This Row],[Duracion ideal (dia)]]="",I463,Tabla15[[#This Row],[Inicio ideal]]+Tabla15[[#This Row],[Duracion ideal (dia)]])</f>
        <v>46242</v>
      </c>
      <c r="J464" s="12"/>
      <c r="K464" s="19">
        <f>IF(Tabla15[[#This Row],[Duracion Real (dia)]]="",K463,L463)</f>
        <v>46256</v>
      </c>
      <c r="L464" s="19">
        <f>IF(Tabla15[[#This Row],[Duracion Real (dia)]]="",L463,Tabla15[[#This Row],[Inicio Real]]+Tabla15[[#This Row],[Duracion Real (dia)]])</f>
        <v>46260</v>
      </c>
      <c r="M464" s="12"/>
      <c r="N464" s="19" t="s">
        <v>35</v>
      </c>
      <c r="O464" s="13" t="s">
        <v>35</v>
      </c>
      <c r="P464" s="13" t="s">
        <v>35</v>
      </c>
      <c r="Q464" s="13" t="s">
        <v>35</v>
      </c>
      <c r="R464" s="13" t="s">
        <v>35</v>
      </c>
      <c r="S464" s="13" t="s">
        <v>35</v>
      </c>
      <c r="T464" s="13" t="s">
        <v>35</v>
      </c>
    </row>
    <row r="465" spans="1:20">
      <c r="A465" s="9" t="s">
        <v>580</v>
      </c>
      <c r="B465" s="9"/>
      <c r="C465" s="25" t="s">
        <v>581</v>
      </c>
      <c r="D465" s="15" t="s">
        <v>422</v>
      </c>
      <c r="E465" s="15" t="s">
        <v>29</v>
      </c>
      <c r="F465" s="15" t="str">
        <f>IF(Tabla15[[#This Row],[Columna1]]="","actividad","subactividad")</f>
        <v>actividad</v>
      </c>
      <c r="G465" s="16" t="s">
        <v>197</v>
      </c>
      <c r="H465" s="19">
        <f t="shared" si="51"/>
        <v>46242</v>
      </c>
      <c r="I465" s="19">
        <f>IF(Tabla15[[#This Row],[Duracion ideal (dia)]]="",I464,Tabla15[[#This Row],[Inicio ideal]]+Tabla15[[#This Row],[Duracion ideal (dia)]])</f>
        <v>46242</v>
      </c>
      <c r="J465" s="16"/>
      <c r="K465" s="19">
        <f>IF(Tabla15[[#This Row],[Duracion Real (dia)]]="",K464,L464)</f>
        <v>46256</v>
      </c>
      <c r="L465" s="19">
        <f>IF(Tabla15[[#This Row],[Duracion Real (dia)]]="",L464,Tabla15[[#This Row],[Inicio Real]]+Tabla15[[#This Row],[Duracion Real (dia)]])</f>
        <v>46260</v>
      </c>
      <c r="M465" s="16"/>
      <c r="N465" s="19" t="s">
        <v>35</v>
      </c>
      <c r="O465" s="13" t="s">
        <v>35</v>
      </c>
      <c r="P465" s="13" t="s">
        <v>35</v>
      </c>
      <c r="Q465" s="13" t="s">
        <v>35</v>
      </c>
      <c r="R465" s="13" t="s">
        <v>35</v>
      </c>
      <c r="S465" s="13" t="s">
        <v>35</v>
      </c>
      <c r="T465" s="13" t="s">
        <v>35</v>
      </c>
    </row>
    <row r="466" spans="1:20">
      <c r="A466" s="9" t="s">
        <v>582</v>
      </c>
      <c r="B466" s="9"/>
      <c r="C466" s="22" t="s">
        <v>583</v>
      </c>
      <c r="D466" s="11" t="s">
        <v>422</v>
      </c>
      <c r="E466" s="11" t="s">
        <v>29</v>
      </c>
      <c r="F466" s="15" t="str">
        <f>IF(Tabla15[[#This Row],[Columna1]]="","actividad","subactividad")</f>
        <v>actividad</v>
      </c>
      <c r="G466" s="12" t="s">
        <v>209</v>
      </c>
      <c r="H466" s="19">
        <f t="shared" si="51"/>
        <v>46242</v>
      </c>
      <c r="I466" s="19">
        <f>IF(Tabla15[[#This Row],[Duracion ideal (dia)]]="",I465,Tabla15[[#This Row],[Inicio ideal]]+Tabla15[[#This Row],[Duracion ideal (dia)]])</f>
        <v>46246</v>
      </c>
      <c r="J466" s="12">
        <v>4</v>
      </c>
      <c r="K466" s="19">
        <f>IF(Tabla15[[#This Row],[Duracion Real (dia)]]="",K465,L465)</f>
        <v>46260</v>
      </c>
      <c r="L466" s="19">
        <f>IF(Tabla15[[#This Row],[Duracion Real (dia)]]="",L465,Tabla15[[#This Row],[Inicio Real]]+Tabla15[[#This Row],[Duracion Real (dia)]])</f>
        <v>46264</v>
      </c>
      <c r="M466" s="12">
        <v>4</v>
      </c>
      <c r="N466" s="19" t="s">
        <v>69</v>
      </c>
      <c r="O466" s="13">
        <v>250323.51</v>
      </c>
      <c r="P466" s="13">
        <v>4615.3999999999996</v>
      </c>
      <c r="Q466" s="13">
        <v>254938.91</v>
      </c>
      <c r="R466" s="13">
        <v>256785.03</v>
      </c>
      <c r="S466" s="13">
        <v>325420.56300000002</v>
      </c>
      <c r="T466" s="13">
        <v>325420.56300000002</v>
      </c>
    </row>
    <row r="467" spans="1:20" hidden="1">
      <c r="A467" s="9" t="str">
        <f>CONCATENATE($A$466,".",B467)</f>
        <v>3.1.4.1.1</v>
      </c>
      <c r="B467" s="9">
        <f>IF(B466=" ",1,B466+1)</f>
        <v>1</v>
      </c>
      <c r="C467" s="20" t="s">
        <v>584</v>
      </c>
      <c r="D467" s="15" t="s">
        <v>422</v>
      </c>
      <c r="E467" s="15" t="s">
        <v>29</v>
      </c>
      <c r="F467" s="15" t="str">
        <f>IF(Tabla15[[#This Row],[Columna1]]="","actividad","subactividad")</f>
        <v>subactividad</v>
      </c>
      <c r="G467" s="16"/>
      <c r="H467" s="19">
        <f t="shared" si="51"/>
        <v>46246</v>
      </c>
      <c r="I467" s="19">
        <f>IF(Tabla15[[#This Row],[Duracion ideal (dia)]]="",I466,Tabla15[[#This Row],[Inicio ideal]]+Tabla15[[#This Row],[Duracion ideal (dia)]])</f>
        <v>46246</v>
      </c>
      <c r="J467" s="16"/>
      <c r="K467" s="19">
        <f>IF(Tabla15[[#This Row],[Duracion Real (dia)]]="",K466,L466)</f>
        <v>46260</v>
      </c>
      <c r="L467" s="19">
        <f>IF(Tabla15[[#This Row],[Duracion Real (dia)]]="",L466,Tabla15[[#This Row],[Inicio Real]]+Tabla15[[#This Row],[Duracion Real (dia)]])</f>
        <v>46264</v>
      </c>
      <c r="M467" s="16"/>
      <c r="N467" s="19" t="s">
        <v>35</v>
      </c>
      <c r="O467" s="13" t="s">
        <v>35</v>
      </c>
      <c r="P467" s="13" t="s">
        <v>35</v>
      </c>
      <c r="Q467" s="13" t="s">
        <v>35</v>
      </c>
      <c r="R467" s="13" t="s">
        <v>35</v>
      </c>
      <c r="S467" s="13" t="s">
        <v>35</v>
      </c>
      <c r="T467" s="13" t="s">
        <v>35</v>
      </c>
    </row>
    <row r="468" spans="1:20" hidden="1">
      <c r="A468" s="9" t="str">
        <f>CONCATENATE($A$466,".",B468)</f>
        <v>3.1.4.1.2</v>
      </c>
      <c r="B468" s="9">
        <f>IF(B467=" ",1,B467+1)</f>
        <v>2</v>
      </c>
      <c r="C468" s="10" t="s">
        <v>585</v>
      </c>
      <c r="D468" s="11" t="s">
        <v>422</v>
      </c>
      <c r="E468" s="11" t="s">
        <v>29</v>
      </c>
      <c r="F468" s="15" t="str">
        <f>IF(Tabla15[[#This Row],[Columna1]]="","actividad","subactividad")</f>
        <v>subactividad</v>
      </c>
      <c r="G468" s="12"/>
      <c r="H468" s="19">
        <f t="shared" si="51"/>
        <v>46246</v>
      </c>
      <c r="I468" s="19">
        <f>IF(Tabla15[[#This Row],[Duracion ideal (dia)]]="",I467,Tabla15[[#This Row],[Inicio ideal]]+Tabla15[[#This Row],[Duracion ideal (dia)]])</f>
        <v>46246</v>
      </c>
      <c r="J468" s="12"/>
      <c r="K468" s="19">
        <f>IF(Tabla15[[#This Row],[Duracion Real (dia)]]="",K467,L467)</f>
        <v>46260</v>
      </c>
      <c r="L468" s="19">
        <f>IF(Tabla15[[#This Row],[Duracion Real (dia)]]="",L467,Tabla15[[#This Row],[Inicio Real]]+Tabla15[[#This Row],[Duracion Real (dia)]])</f>
        <v>46264</v>
      </c>
      <c r="M468" s="12"/>
      <c r="N468" s="19" t="s">
        <v>35</v>
      </c>
      <c r="O468" s="13" t="s">
        <v>35</v>
      </c>
      <c r="P468" s="13" t="s">
        <v>35</v>
      </c>
      <c r="Q468" s="13" t="s">
        <v>35</v>
      </c>
      <c r="R468" s="13" t="s">
        <v>35</v>
      </c>
      <c r="S468" s="13" t="s">
        <v>35</v>
      </c>
      <c r="T468" s="13" t="s">
        <v>35</v>
      </c>
    </row>
    <row r="469" spans="1:20" hidden="1">
      <c r="A469" s="9" t="str">
        <f>CONCATENATE($A$466,".",B469)</f>
        <v>3.1.4.1.3</v>
      </c>
      <c r="B469" s="9">
        <f>IF(B468=" ",1,B468+1)</f>
        <v>3</v>
      </c>
      <c r="C469" s="20" t="s">
        <v>586</v>
      </c>
      <c r="D469" s="15" t="s">
        <v>422</v>
      </c>
      <c r="E469" s="15" t="s">
        <v>29</v>
      </c>
      <c r="F469" s="15" t="str">
        <f>IF(Tabla15[[#This Row],[Columna1]]="","actividad","subactividad")</f>
        <v>subactividad</v>
      </c>
      <c r="G469" s="16"/>
      <c r="H469" s="19">
        <f t="shared" si="51"/>
        <v>46246</v>
      </c>
      <c r="I469" s="19">
        <f>IF(Tabla15[[#This Row],[Duracion ideal (dia)]]="",I468,Tabla15[[#This Row],[Inicio ideal]]+Tabla15[[#This Row],[Duracion ideal (dia)]])</f>
        <v>46246</v>
      </c>
      <c r="J469" s="16"/>
      <c r="K469" s="19">
        <f>IF(Tabla15[[#This Row],[Duracion Real (dia)]]="",K468,L468)</f>
        <v>46260</v>
      </c>
      <c r="L469" s="19">
        <f>IF(Tabla15[[#This Row],[Duracion Real (dia)]]="",L468,Tabla15[[#This Row],[Inicio Real]]+Tabla15[[#This Row],[Duracion Real (dia)]])</f>
        <v>46264</v>
      </c>
      <c r="M469" s="16"/>
      <c r="N469" s="19" t="s">
        <v>35</v>
      </c>
      <c r="O469" s="13" t="s">
        <v>35</v>
      </c>
      <c r="P469" s="13" t="s">
        <v>35</v>
      </c>
      <c r="Q469" s="13" t="s">
        <v>35</v>
      </c>
      <c r="R469" s="13" t="s">
        <v>35</v>
      </c>
      <c r="S469" s="13" t="s">
        <v>35</v>
      </c>
      <c r="T469" s="13" t="s">
        <v>35</v>
      </c>
    </row>
    <row r="470" spans="1:20" hidden="1">
      <c r="A470" s="9" t="str">
        <f>CONCATENATE($A$466,".",B470)</f>
        <v>3.1.4.1.4</v>
      </c>
      <c r="B470" s="9">
        <f>IF(B469=" ",1,B469+1)</f>
        <v>4</v>
      </c>
      <c r="C470" s="10" t="s">
        <v>587</v>
      </c>
      <c r="D470" s="11" t="s">
        <v>422</v>
      </c>
      <c r="E470" s="11" t="s">
        <v>29</v>
      </c>
      <c r="F470" s="15" t="str">
        <f>IF(Tabla15[[#This Row],[Columna1]]="","actividad","subactividad")</f>
        <v>subactividad</v>
      </c>
      <c r="G470" s="12"/>
      <c r="H470" s="19">
        <f t="shared" si="51"/>
        <v>46246</v>
      </c>
      <c r="I470" s="19">
        <f>IF(Tabla15[[#This Row],[Duracion ideal (dia)]]="",I469,Tabla15[[#This Row],[Inicio ideal]]+Tabla15[[#This Row],[Duracion ideal (dia)]])</f>
        <v>46246</v>
      </c>
      <c r="J470" s="12"/>
      <c r="K470" s="19">
        <f>IF(Tabla15[[#This Row],[Duracion Real (dia)]]="",K469,L469)</f>
        <v>46260</v>
      </c>
      <c r="L470" s="19">
        <f>IF(Tabla15[[#This Row],[Duracion Real (dia)]]="",L469,Tabla15[[#This Row],[Inicio Real]]+Tabla15[[#This Row],[Duracion Real (dia)]])</f>
        <v>46264</v>
      </c>
      <c r="M470" s="12"/>
      <c r="N470" s="19" t="s">
        <v>35</v>
      </c>
      <c r="O470" s="13" t="s">
        <v>35</v>
      </c>
      <c r="P470" s="13" t="s">
        <v>35</v>
      </c>
      <c r="Q470" s="13" t="s">
        <v>35</v>
      </c>
      <c r="R470" s="13" t="s">
        <v>35</v>
      </c>
      <c r="S470" s="13" t="s">
        <v>35</v>
      </c>
      <c r="T470" s="13" t="s">
        <v>35</v>
      </c>
    </row>
    <row r="471" spans="1:20" hidden="1">
      <c r="A471" s="9" t="str">
        <f>CONCATENATE($A$466,".",B471)</f>
        <v>3.1.4.1.5</v>
      </c>
      <c r="B471" s="9">
        <f>IF(B470=" ",1,B470+1)</f>
        <v>5</v>
      </c>
      <c r="C471" s="20" t="s">
        <v>588</v>
      </c>
      <c r="D471" s="15" t="s">
        <v>422</v>
      </c>
      <c r="E471" s="15" t="s">
        <v>29</v>
      </c>
      <c r="F471" s="15" t="str">
        <f>IF(Tabla15[[#This Row],[Columna1]]="","actividad","subactividad")</f>
        <v>subactividad</v>
      </c>
      <c r="G471" s="16"/>
      <c r="H471" s="19">
        <f t="shared" si="51"/>
        <v>46246</v>
      </c>
      <c r="I471" s="19">
        <f>IF(Tabla15[[#This Row],[Duracion ideal (dia)]]="",I470,Tabla15[[#This Row],[Inicio ideal]]+Tabla15[[#This Row],[Duracion ideal (dia)]])</f>
        <v>46246</v>
      </c>
      <c r="J471" s="16"/>
      <c r="K471" s="19">
        <f>IF(Tabla15[[#This Row],[Duracion Real (dia)]]="",K470,L470)</f>
        <v>46260</v>
      </c>
      <c r="L471" s="19">
        <f>IF(Tabla15[[#This Row],[Duracion Real (dia)]]="",L470,Tabla15[[#This Row],[Inicio Real]]+Tabla15[[#This Row],[Duracion Real (dia)]])</f>
        <v>46264</v>
      </c>
      <c r="M471" s="16"/>
      <c r="N471" s="19" t="s">
        <v>35</v>
      </c>
      <c r="O471" s="13" t="s">
        <v>35</v>
      </c>
      <c r="P471" s="13" t="s">
        <v>35</v>
      </c>
      <c r="Q471" s="13" t="s">
        <v>35</v>
      </c>
      <c r="R471" s="13" t="s">
        <v>35</v>
      </c>
      <c r="S471" s="13" t="s">
        <v>35</v>
      </c>
      <c r="T471" s="13" t="s">
        <v>35</v>
      </c>
    </row>
    <row r="472" spans="1:20">
      <c r="A472" s="9" t="s">
        <v>589</v>
      </c>
      <c r="B472" s="9"/>
      <c r="C472" s="22" t="s">
        <v>590</v>
      </c>
      <c r="D472" s="11" t="s">
        <v>422</v>
      </c>
      <c r="E472" s="11" t="s">
        <v>29</v>
      </c>
      <c r="F472" s="15" t="str">
        <f>IF(Tabla15[[#This Row],[Columna1]]="","actividad","subactividad")</f>
        <v>actividad</v>
      </c>
      <c r="G472" s="12"/>
      <c r="H472" s="19">
        <f t="shared" si="51"/>
        <v>46246</v>
      </c>
      <c r="I472" s="19">
        <f>IF(Tabla15[[#This Row],[Duracion ideal (dia)]]="",I471,Tabla15[[#This Row],[Inicio ideal]]+Tabla15[[#This Row],[Duracion ideal (dia)]])</f>
        <v>46246</v>
      </c>
      <c r="J472" s="12"/>
      <c r="K472" s="19">
        <f>IF(Tabla15[[#This Row],[Duracion Real (dia)]]="",K471,L471)</f>
        <v>46260</v>
      </c>
      <c r="L472" s="19">
        <f>IF(Tabla15[[#This Row],[Duracion Real (dia)]]="",L471,Tabla15[[#This Row],[Inicio Real]]+Tabla15[[#This Row],[Duracion Real (dia)]])</f>
        <v>46264</v>
      </c>
      <c r="M472" s="12"/>
      <c r="N472" s="19" t="s">
        <v>35</v>
      </c>
      <c r="O472" s="13" t="s">
        <v>35</v>
      </c>
      <c r="P472" s="13" t="s">
        <v>35</v>
      </c>
      <c r="Q472" s="13" t="s">
        <v>35</v>
      </c>
      <c r="R472" s="13" t="s">
        <v>35</v>
      </c>
      <c r="S472" s="13" t="s">
        <v>35</v>
      </c>
      <c r="T472" s="13" t="s">
        <v>35</v>
      </c>
    </row>
    <row r="473" spans="1:20" hidden="1">
      <c r="A473" s="9" t="str">
        <f>CONCATENATE($A$472,".",B473)</f>
        <v>3.1.5.1</v>
      </c>
      <c r="B473" s="9">
        <f>IF(B472=" ",1,B472+1)</f>
        <v>1</v>
      </c>
      <c r="C473" s="20" t="s">
        <v>591</v>
      </c>
      <c r="D473" s="15" t="s">
        <v>422</v>
      </c>
      <c r="E473" s="15" t="s">
        <v>29</v>
      </c>
      <c r="F473" s="15" t="str">
        <f>IF(Tabla15[[#This Row],[Columna1]]="","actividad","subactividad")</f>
        <v>subactividad</v>
      </c>
      <c r="G473" s="16"/>
      <c r="H473" s="19">
        <f t="shared" si="51"/>
        <v>46246</v>
      </c>
      <c r="I473" s="19">
        <f>IF(Tabla15[[#This Row],[Duracion ideal (dia)]]="",I472,Tabla15[[#This Row],[Inicio ideal]]+Tabla15[[#This Row],[Duracion ideal (dia)]])</f>
        <v>46246</v>
      </c>
      <c r="J473" s="16"/>
      <c r="K473" s="19">
        <f>IF(Tabla15[[#This Row],[Duracion Real (dia)]]="",K472,L472)</f>
        <v>46260</v>
      </c>
      <c r="L473" s="19">
        <f>IF(Tabla15[[#This Row],[Duracion Real (dia)]]="",L472,Tabla15[[#This Row],[Inicio Real]]+Tabla15[[#This Row],[Duracion Real (dia)]])</f>
        <v>46264</v>
      </c>
      <c r="M473" s="16"/>
      <c r="N473" s="19" t="s">
        <v>35</v>
      </c>
      <c r="O473" s="13" t="s">
        <v>35</v>
      </c>
      <c r="P473" s="13" t="s">
        <v>35</v>
      </c>
      <c r="Q473" s="13" t="s">
        <v>35</v>
      </c>
      <c r="R473" s="13" t="s">
        <v>35</v>
      </c>
      <c r="S473" s="13" t="s">
        <v>35</v>
      </c>
      <c r="T473" s="13" t="s">
        <v>35</v>
      </c>
    </row>
    <row r="474" spans="1:20" hidden="1">
      <c r="A474" s="9" t="str">
        <f>CONCATENATE($A$472,".",B474)</f>
        <v>3.1.5.2</v>
      </c>
      <c r="B474" s="9">
        <f>IF(B473=" ",1,B473+1)</f>
        <v>2</v>
      </c>
      <c r="C474" s="10" t="s">
        <v>592</v>
      </c>
      <c r="D474" s="11" t="s">
        <v>422</v>
      </c>
      <c r="E474" s="11" t="s">
        <v>29</v>
      </c>
      <c r="F474" s="15" t="str">
        <f>IF(Tabla15[[#This Row],[Columna1]]="","actividad","subactividad")</f>
        <v>subactividad</v>
      </c>
      <c r="G474" s="12"/>
      <c r="H474" s="19">
        <f t="shared" si="51"/>
        <v>46246</v>
      </c>
      <c r="I474" s="19">
        <f>IF(Tabla15[[#This Row],[Duracion ideal (dia)]]="",I473,Tabla15[[#This Row],[Inicio ideal]]+Tabla15[[#This Row],[Duracion ideal (dia)]])</f>
        <v>46246</v>
      </c>
      <c r="J474" s="12"/>
      <c r="K474" s="19">
        <f>IF(Tabla15[[#This Row],[Duracion Real (dia)]]="",K473,L473)</f>
        <v>46260</v>
      </c>
      <c r="L474" s="19">
        <f>IF(Tabla15[[#This Row],[Duracion Real (dia)]]="",L473,Tabla15[[#This Row],[Inicio Real]]+Tabla15[[#This Row],[Duracion Real (dia)]])</f>
        <v>46264</v>
      </c>
      <c r="M474" s="12"/>
      <c r="N474" s="19" t="s">
        <v>35</v>
      </c>
      <c r="O474" s="13" t="s">
        <v>35</v>
      </c>
      <c r="P474" s="13" t="s">
        <v>35</v>
      </c>
      <c r="Q474" s="13" t="s">
        <v>35</v>
      </c>
      <c r="R474" s="13" t="s">
        <v>35</v>
      </c>
      <c r="S474" s="13" t="s">
        <v>35</v>
      </c>
      <c r="T474" s="13" t="s">
        <v>35</v>
      </c>
    </row>
    <row r="475" spans="1:20" hidden="1">
      <c r="A475" s="9" t="str">
        <f>CONCATENATE($A$472,".",B475)</f>
        <v>3.1.5.3</v>
      </c>
      <c r="B475" s="9">
        <f>IF(B474=" ",1,B474+1)</f>
        <v>3</v>
      </c>
      <c r="C475" s="20" t="s">
        <v>593</v>
      </c>
      <c r="D475" s="15" t="s">
        <v>422</v>
      </c>
      <c r="E475" s="15" t="s">
        <v>29</v>
      </c>
      <c r="F475" s="15" t="str">
        <f>IF(Tabla15[[#This Row],[Columna1]]="","actividad","subactividad")</f>
        <v>subactividad</v>
      </c>
      <c r="G475" s="16"/>
      <c r="H475" s="19">
        <f t="shared" si="51"/>
        <v>46246</v>
      </c>
      <c r="I475" s="19">
        <f>IF(Tabla15[[#This Row],[Duracion ideal (dia)]]="",I474,Tabla15[[#This Row],[Inicio ideal]]+Tabla15[[#This Row],[Duracion ideal (dia)]])</f>
        <v>46246</v>
      </c>
      <c r="J475" s="16"/>
      <c r="K475" s="19">
        <f>IF(Tabla15[[#This Row],[Duracion Real (dia)]]="",K474,L474)</f>
        <v>46260</v>
      </c>
      <c r="L475" s="19">
        <f>IF(Tabla15[[#This Row],[Duracion Real (dia)]]="",L474,Tabla15[[#This Row],[Inicio Real]]+Tabla15[[#This Row],[Duracion Real (dia)]])</f>
        <v>46264</v>
      </c>
      <c r="M475" s="16"/>
      <c r="N475" s="19" t="s">
        <v>35</v>
      </c>
      <c r="O475" s="13" t="s">
        <v>35</v>
      </c>
      <c r="P475" s="13" t="s">
        <v>35</v>
      </c>
      <c r="Q475" s="13" t="s">
        <v>35</v>
      </c>
      <c r="R475" s="13" t="s">
        <v>35</v>
      </c>
      <c r="S475" s="13" t="s">
        <v>35</v>
      </c>
      <c r="T475" s="13" t="s">
        <v>35</v>
      </c>
    </row>
    <row r="476" spans="1:20" hidden="1">
      <c r="A476" s="9" t="str">
        <f>CONCATENATE($A$472,".",B476)</f>
        <v>3.1.5.4</v>
      </c>
      <c r="B476" s="9">
        <f>IF(B475=" ",1,B475+1)</f>
        <v>4</v>
      </c>
      <c r="C476" s="10" t="s">
        <v>594</v>
      </c>
      <c r="D476" s="11" t="s">
        <v>422</v>
      </c>
      <c r="E476" s="11" t="s">
        <v>29</v>
      </c>
      <c r="F476" s="15" t="str">
        <f>IF(Tabla15[[#This Row],[Columna1]]="","actividad","subactividad")</f>
        <v>subactividad</v>
      </c>
      <c r="G476" s="12"/>
      <c r="H476" s="19">
        <f t="shared" si="51"/>
        <v>46246</v>
      </c>
      <c r="I476" s="19">
        <f>IF(Tabla15[[#This Row],[Duracion ideal (dia)]]="",I475,Tabla15[[#This Row],[Inicio ideal]]+Tabla15[[#This Row],[Duracion ideal (dia)]])</f>
        <v>46246</v>
      </c>
      <c r="J476" s="12"/>
      <c r="K476" s="19">
        <f>IF(Tabla15[[#This Row],[Duracion Real (dia)]]="",K475,L475)</f>
        <v>46260</v>
      </c>
      <c r="L476" s="19">
        <f>IF(Tabla15[[#This Row],[Duracion Real (dia)]]="",L475,Tabla15[[#This Row],[Inicio Real]]+Tabla15[[#This Row],[Duracion Real (dia)]])</f>
        <v>46264</v>
      </c>
      <c r="M476" s="12"/>
      <c r="N476" s="19" t="s">
        <v>35</v>
      </c>
      <c r="O476" s="13" t="s">
        <v>35</v>
      </c>
      <c r="P476" s="13" t="s">
        <v>35</v>
      </c>
      <c r="Q476" s="13" t="s">
        <v>35</v>
      </c>
      <c r="R476" s="13" t="s">
        <v>35</v>
      </c>
      <c r="S476" s="13" t="s">
        <v>35</v>
      </c>
      <c r="T476" s="13" t="s">
        <v>35</v>
      </c>
    </row>
    <row r="477" spans="1:20">
      <c r="A477" s="9" t="s">
        <v>595</v>
      </c>
      <c r="B477" s="9"/>
      <c r="C477" s="21" t="s">
        <v>596</v>
      </c>
      <c r="D477" s="15" t="s">
        <v>422</v>
      </c>
      <c r="E477" s="15" t="s">
        <v>29</v>
      </c>
      <c r="F477" s="15" t="str">
        <f>IF(Tabla15[[#This Row],[Columna1]]="","actividad","subactividad")</f>
        <v>actividad</v>
      </c>
      <c r="G477" s="16" t="s">
        <v>209</v>
      </c>
      <c r="H477" s="19">
        <f t="shared" si="51"/>
        <v>46246</v>
      </c>
      <c r="I477" s="19">
        <f>IF(Tabla15[[#This Row],[Duracion ideal (dia)]]="",I476,Tabla15[[#This Row],[Inicio ideal]]+Tabla15[[#This Row],[Duracion ideal (dia)]])</f>
        <v>46252</v>
      </c>
      <c r="J477" s="16">
        <v>6</v>
      </c>
      <c r="K477" s="19">
        <f>IF(Tabla15[[#This Row],[Duracion Real (dia)]]="",K476,L476)</f>
        <v>46264</v>
      </c>
      <c r="L477" s="19">
        <f>IF(Tabla15[[#This Row],[Duracion Real (dia)]]="",L476,Tabla15[[#This Row],[Inicio Real]]+Tabla15[[#This Row],[Duracion Real (dia)]])</f>
        <v>46270</v>
      </c>
      <c r="M477" s="16">
        <v>6</v>
      </c>
      <c r="N477" s="19" t="s">
        <v>33</v>
      </c>
      <c r="O477" s="13">
        <v>250323.51</v>
      </c>
      <c r="P477" s="13">
        <v>11070.900000000001</v>
      </c>
      <c r="Q477" s="13">
        <v>261394.41</v>
      </c>
      <c r="R477" s="13">
        <v>257800.41</v>
      </c>
      <c r="S477" s="13">
        <v>325420.56300000002</v>
      </c>
      <c r="T477" s="13">
        <v>325420.56300000002</v>
      </c>
    </row>
    <row r="478" spans="1:20" hidden="1">
      <c r="A478" s="9" t="str">
        <f>CONCATENATE($A$477,".",B478)</f>
        <v>3.1.6.1</v>
      </c>
      <c r="B478" s="9">
        <f>IF(B477=" ",1,B477+1)</f>
        <v>1</v>
      </c>
      <c r="C478" s="10" t="s">
        <v>597</v>
      </c>
      <c r="D478" s="11" t="s">
        <v>422</v>
      </c>
      <c r="E478" s="11" t="s">
        <v>29</v>
      </c>
      <c r="F478" s="15" t="str">
        <f>IF(Tabla15[[#This Row],[Columna1]]="","actividad","subactividad")</f>
        <v>subactividad</v>
      </c>
      <c r="G478" s="12"/>
      <c r="H478" s="19">
        <f t="shared" si="51"/>
        <v>46252</v>
      </c>
      <c r="I478" s="19">
        <f>IF(Tabla15[[#This Row],[Duracion ideal (dia)]]="",I477,Tabla15[[#This Row],[Inicio ideal]]+Tabla15[[#This Row],[Duracion ideal (dia)]])</f>
        <v>46252</v>
      </c>
      <c r="J478" s="12"/>
      <c r="K478" s="19">
        <f>IF(Tabla15[[#This Row],[Duracion Real (dia)]]="",K477,L477)</f>
        <v>46264</v>
      </c>
      <c r="L478" s="19">
        <f>IF(Tabla15[[#This Row],[Duracion Real (dia)]]="",L477,Tabla15[[#This Row],[Inicio Real]]+Tabla15[[#This Row],[Duracion Real (dia)]])</f>
        <v>46270</v>
      </c>
      <c r="M478" s="12"/>
      <c r="N478" s="19" t="s">
        <v>35</v>
      </c>
      <c r="O478" s="13" t="s">
        <v>35</v>
      </c>
      <c r="P478" s="13" t="s">
        <v>35</v>
      </c>
      <c r="Q478" s="13" t="s">
        <v>35</v>
      </c>
      <c r="R478" s="13" t="s">
        <v>35</v>
      </c>
      <c r="S478" s="13" t="s">
        <v>35</v>
      </c>
      <c r="T478" s="13" t="s">
        <v>35</v>
      </c>
    </row>
    <row r="479" spans="1:20" hidden="1">
      <c r="A479" s="9" t="str">
        <f>CONCATENATE($A$477,".",B479)</f>
        <v>3.1.6.2</v>
      </c>
      <c r="B479" s="9">
        <f>IF(B478=" ",1,B478+1)</f>
        <v>2</v>
      </c>
      <c r="C479" s="20" t="s">
        <v>598</v>
      </c>
      <c r="D479" s="15" t="s">
        <v>422</v>
      </c>
      <c r="E479" s="15" t="s">
        <v>29</v>
      </c>
      <c r="F479" s="15" t="str">
        <f>IF(Tabla15[[#This Row],[Columna1]]="","actividad","subactividad")</f>
        <v>subactividad</v>
      </c>
      <c r="G479" s="16"/>
      <c r="H479" s="19">
        <f t="shared" si="51"/>
        <v>46252</v>
      </c>
      <c r="I479" s="19">
        <f>IF(Tabla15[[#This Row],[Duracion ideal (dia)]]="",I478,Tabla15[[#This Row],[Inicio ideal]]+Tabla15[[#This Row],[Duracion ideal (dia)]])</f>
        <v>46252</v>
      </c>
      <c r="J479" s="16"/>
      <c r="K479" s="19">
        <f>IF(Tabla15[[#This Row],[Duracion Real (dia)]]="",K478,L478)</f>
        <v>46264</v>
      </c>
      <c r="L479" s="19">
        <f>IF(Tabla15[[#This Row],[Duracion Real (dia)]]="",L478,Tabla15[[#This Row],[Inicio Real]]+Tabla15[[#This Row],[Duracion Real (dia)]])</f>
        <v>46270</v>
      </c>
      <c r="M479" s="16"/>
      <c r="N479" s="19" t="s">
        <v>35</v>
      </c>
      <c r="O479" s="13" t="s">
        <v>35</v>
      </c>
      <c r="P479" s="13" t="s">
        <v>35</v>
      </c>
      <c r="Q479" s="13" t="s">
        <v>35</v>
      </c>
      <c r="R479" s="13" t="s">
        <v>35</v>
      </c>
      <c r="S479" s="13" t="s">
        <v>35</v>
      </c>
      <c r="T479" s="13" t="s">
        <v>35</v>
      </c>
    </row>
    <row r="480" spans="1:20" hidden="1">
      <c r="A480" s="9" t="str">
        <f>CONCATENATE($A$477,".",B480)</f>
        <v>3.1.6.3</v>
      </c>
      <c r="B480" s="9">
        <f>IF(B479=" ",1,B479+1)</f>
        <v>3</v>
      </c>
      <c r="C480" s="10" t="s">
        <v>599</v>
      </c>
      <c r="D480" s="11" t="s">
        <v>422</v>
      </c>
      <c r="E480" s="11" t="s">
        <v>29</v>
      </c>
      <c r="F480" s="15" t="str">
        <f>IF(Tabla15[[#This Row],[Columna1]]="","actividad","subactividad")</f>
        <v>subactividad</v>
      </c>
      <c r="G480" s="12"/>
      <c r="H480" s="19">
        <f t="shared" si="51"/>
        <v>46252</v>
      </c>
      <c r="I480" s="19">
        <f>IF(Tabla15[[#This Row],[Duracion ideal (dia)]]="",I479,Tabla15[[#This Row],[Inicio ideal]]+Tabla15[[#This Row],[Duracion ideal (dia)]])</f>
        <v>46252</v>
      </c>
      <c r="J480" s="12"/>
      <c r="K480" s="19">
        <f>IF(Tabla15[[#This Row],[Duracion Real (dia)]]="",K479,L479)</f>
        <v>46264</v>
      </c>
      <c r="L480" s="19">
        <f>IF(Tabla15[[#This Row],[Duracion Real (dia)]]="",L479,Tabla15[[#This Row],[Inicio Real]]+Tabla15[[#This Row],[Duracion Real (dia)]])</f>
        <v>46270</v>
      </c>
      <c r="M480" s="12"/>
      <c r="N480" s="19" t="s">
        <v>35</v>
      </c>
      <c r="O480" s="13" t="s">
        <v>35</v>
      </c>
      <c r="P480" s="13" t="s">
        <v>35</v>
      </c>
      <c r="Q480" s="13" t="s">
        <v>35</v>
      </c>
      <c r="R480" s="13" t="s">
        <v>35</v>
      </c>
      <c r="S480" s="13" t="s">
        <v>35</v>
      </c>
      <c r="T480" s="13" t="s">
        <v>35</v>
      </c>
    </row>
    <row r="481" spans="1:20">
      <c r="A481" s="9" t="s">
        <v>600</v>
      </c>
      <c r="B481" s="9"/>
      <c r="C481" s="21" t="s">
        <v>601</v>
      </c>
      <c r="D481" s="15" t="s">
        <v>422</v>
      </c>
      <c r="E481" s="15" t="s">
        <v>29</v>
      </c>
      <c r="F481" s="15" t="str">
        <f>IF(Tabla15[[#This Row],[Columna1]]="","actividad","subactividad")</f>
        <v>actividad</v>
      </c>
      <c r="G481" s="16" t="s">
        <v>209</v>
      </c>
      <c r="H481" s="19">
        <f t="shared" si="51"/>
        <v>46252</v>
      </c>
      <c r="I481" s="19">
        <f>IF(Tabla15[[#This Row],[Duracion ideal (dia)]]="",I480,Tabla15[[#This Row],[Inicio ideal]]+Tabla15[[#This Row],[Duracion ideal (dia)]])</f>
        <v>46255</v>
      </c>
      <c r="J481" s="16">
        <v>3</v>
      </c>
      <c r="K481" s="19">
        <f>IF(Tabla15[[#This Row],[Duracion Real (dia)]]="",K480,L480)</f>
        <v>46270</v>
      </c>
      <c r="L481" s="19">
        <f>IF(Tabla15[[#This Row],[Duracion Real (dia)]]="",L480,Tabla15[[#This Row],[Inicio Real]]+Tabla15[[#This Row],[Duracion Real (dia)]])</f>
        <v>46277</v>
      </c>
      <c r="M481" s="16">
        <v>7</v>
      </c>
      <c r="N481" s="19" t="s">
        <v>160</v>
      </c>
      <c r="O481" s="13">
        <v>250323.51</v>
      </c>
      <c r="P481" s="13">
        <v>5535.4500000000007</v>
      </c>
      <c r="Q481" s="13">
        <v>255858.96000000002</v>
      </c>
      <c r="R481" s="13">
        <v>254477.37</v>
      </c>
      <c r="S481" s="13">
        <v>325420.56300000002</v>
      </c>
      <c r="T481" s="13">
        <v>325420.56300000002</v>
      </c>
    </row>
    <row r="482" spans="1:20" hidden="1">
      <c r="A482" s="9" t="str">
        <f>CONCATENATE($A$481,".",B482)</f>
        <v>3.1.7.1</v>
      </c>
      <c r="B482" s="9">
        <f>IF(B481=" ",1,B481+1)</f>
        <v>1</v>
      </c>
      <c r="C482" s="10" t="s">
        <v>602</v>
      </c>
      <c r="D482" s="11" t="s">
        <v>422</v>
      </c>
      <c r="E482" s="11" t="s">
        <v>29</v>
      </c>
      <c r="F482" s="15" t="str">
        <f>IF(Tabla15[[#This Row],[Columna1]]="","actividad","subactividad")</f>
        <v>subactividad</v>
      </c>
      <c r="G482" s="12"/>
      <c r="H482" s="19">
        <f t="shared" si="51"/>
        <v>46255</v>
      </c>
      <c r="I482" s="19">
        <f>IF(Tabla15[[#This Row],[Duracion ideal (dia)]]="",I481,Tabla15[[#This Row],[Inicio ideal]]+Tabla15[[#This Row],[Duracion ideal (dia)]])</f>
        <v>46255</v>
      </c>
      <c r="J482" s="12"/>
      <c r="K482" s="19">
        <f>IF(Tabla15[[#This Row],[Duracion Real (dia)]]="",K481,L481)</f>
        <v>46270</v>
      </c>
      <c r="L482" s="19">
        <f>IF(Tabla15[[#This Row],[Duracion Real (dia)]]="",L481,Tabla15[[#This Row],[Inicio Real]]+Tabla15[[#This Row],[Duracion Real (dia)]])</f>
        <v>46277</v>
      </c>
      <c r="M482" s="12"/>
      <c r="N482" s="19" t="s">
        <v>35</v>
      </c>
      <c r="O482" s="13" t="s">
        <v>35</v>
      </c>
      <c r="P482" s="13" t="s">
        <v>35</v>
      </c>
      <c r="Q482" s="13" t="s">
        <v>35</v>
      </c>
      <c r="R482" s="13" t="s">
        <v>35</v>
      </c>
      <c r="S482" s="13" t="s">
        <v>35</v>
      </c>
      <c r="T482" s="13" t="s">
        <v>35</v>
      </c>
    </row>
    <row r="483" spans="1:20" hidden="1">
      <c r="A483" s="9" t="str">
        <f>CONCATENATE($A$481,".",B483)</f>
        <v>3.1.7.2</v>
      </c>
      <c r="B483" s="9">
        <f>IF(B482=" ",1,B482+1)</f>
        <v>2</v>
      </c>
      <c r="C483" s="20" t="s">
        <v>603</v>
      </c>
      <c r="D483" s="15" t="s">
        <v>422</v>
      </c>
      <c r="E483" s="15" t="s">
        <v>29</v>
      </c>
      <c r="F483" s="15" t="str">
        <f>IF(Tabla15[[#This Row],[Columna1]]="","actividad","subactividad")</f>
        <v>subactividad</v>
      </c>
      <c r="G483" s="16"/>
      <c r="H483" s="19">
        <f t="shared" si="51"/>
        <v>46255</v>
      </c>
      <c r="I483" s="19">
        <f>IF(Tabla15[[#This Row],[Duracion ideal (dia)]]="",I482,Tabla15[[#This Row],[Inicio ideal]]+Tabla15[[#This Row],[Duracion ideal (dia)]])</f>
        <v>46255</v>
      </c>
      <c r="J483" s="16"/>
      <c r="K483" s="19">
        <f>IF(Tabla15[[#This Row],[Duracion Real (dia)]]="",K482,L482)</f>
        <v>46270</v>
      </c>
      <c r="L483" s="19">
        <f>IF(Tabla15[[#This Row],[Duracion Real (dia)]]="",L482,Tabla15[[#This Row],[Inicio Real]]+Tabla15[[#This Row],[Duracion Real (dia)]])</f>
        <v>46277</v>
      </c>
      <c r="M483" s="16"/>
      <c r="N483" s="19" t="s">
        <v>35</v>
      </c>
      <c r="O483" s="13" t="s">
        <v>35</v>
      </c>
      <c r="P483" s="13" t="s">
        <v>35</v>
      </c>
      <c r="Q483" s="13" t="s">
        <v>35</v>
      </c>
      <c r="R483" s="13" t="s">
        <v>35</v>
      </c>
      <c r="S483" s="13" t="s">
        <v>35</v>
      </c>
      <c r="T483" s="13" t="s">
        <v>35</v>
      </c>
    </row>
    <row r="484" spans="1:20" hidden="1">
      <c r="A484" s="9" t="str">
        <f>CONCATENATE($A$481,".",B484)</f>
        <v>3.1.7.3</v>
      </c>
      <c r="B484" s="9">
        <f>IF(B483=" ",1,B483+1)</f>
        <v>3</v>
      </c>
      <c r="C484" s="10" t="s">
        <v>604</v>
      </c>
      <c r="D484" s="11" t="s">
        <v>422</v>
      </c>
      <c r="E484" s="11" t="s">
        <v>29</v>
      </c>
      <c r="F484" s="15" t="str">
        <f>IF(Tabla15[[#This Row],[Columna1]]="","actividad","subactividad")</f>
        <v>subactividad</v>
      </c>
      <c r="G484" s="12"/>
      <c r="H484" s="19">
        <f t="shared" si="51"/>
        <v>46255</v>
      </c>
      <c r="I484" s="19">
        <f>IF(Tabla15[[#This Row],[Duracion ideal (dia)]]="",I483,Tabla15[[#This Row],[Inicio ideal]]+Tabla15[[#This Row],[Duracion ideal (dia)]])</f>
        <v>46255</v>
      </c>
      <c r="J484" s="12"/>
      <c r="K484" s="19">
        <f>IF(Tabla15[[#This Row],[Duracion Real (dia)]]="",K483,L483)</f>
        <v>46270</v>
      </c>
      <c r="L484" s="19">
        <f>IF(Tabla15[[#This Row],[Duracion Real (dia)]]="",L483,Tabla15[[#This Row],[Inicio Real]]+Tabla15[[#This Row],[Duracion Real (dia)]])</f>
        <v>46277</v>
      </c>
      <c r="M484" s="12"/>
      <c r="N484" s="19" t="s">
        <v>35</v>
      </c>
      <c r="O484" s="13" t="s">
        <v>35</v>
      </c>
      <c r="P484" s="13" t="s">
        <v>35</v>
      </c>
      <c r="Q484" s="13" t="s">
        <v>35</v>
      </c>
      <c r="R484" s="13" t="s">
        <v>35</v>
      </c>
      <c r="S484" s="13" t="s">
        <v>35</v>
      </c>
      <c r="T484" s="13" t="s">
        <v>35</v>
      </c>
    </row>
    <row r="485" spans="1:20">
      <c r="A485" s="9" t="s">
        <v>605</v>
      </c>
      <c r="B485" s="9"/>
      <c r="C485" s="21" t="s">
        <v>606</v>
      </c>
      <c r="D485" s="15" t="s">
        <v>422</v>
      </c>
      <c r="E485" s="15" t="s">
        <v>29</v>
      </c>
      <c r="F485" s="15" t="str">
        <f>IF(Tabla15[[#This Row],[Columna1]]="","actividad","subactividad")</f>
        <v>actividad</v>
      </c>
      <c r="G485" s="16" t="s">
        <v>209</v>
      </c>
      <c r="H485" s="19">
        <f t="shared" si="51"/>
        <v>46255</v>
      </c>
      <c r="I485" s="19">
        <f>IF(Tabla15[[#This Row],[Duracion ideal (dia)]]="",I484,Tabla15[[#This Row],[Inicio ideal]]+Tabla15[[#This Row],[Duracion ideal (dia)]])</f>
        <v>46261</v>
      </c>
      <c r="J485" s="16">
        <v>6</v>
      </c>
      <c r="K485" s="19">
        <f>IF(Tabla15[[#This Row],[Duracion Real (dia)]]="",K484,L484)</f>
        <v>46277</v>
      </c>
      <c r="L485" s="19">
        <f>IF(Tabla15[[#This Row],[Duracion Real (dia)]]="",L484,Tabla15[[#This Row],[Inicio Real]]+Tabla15[[#This Row],[Duracion Real (dia)]])</f>
        <v>46283</v>
      </c>
      <c r="M485" s="16">
        <v>6</v>
      </c>
      <c r="N485" s="19" t="s">
        <v>160</v>
      </c>
      <c r="O485" s="13">
        <v>50192.42</v>
      </c>
      <c r="P485" s="13">
        <v>11070.900000000001</v>
      </c>
      <c r="Q485" s="13">
        <v>61263.32</v>
      </c>
      <c r="R485" s="13">
        <v>58500.14</v>
      </c>
      <c r="S485" s="13">
        <v>65250.146000000001</v>
      </c>
      <c r="T485" s="13">
        <v>65250.146000000001</v>
      </c>
    </row>
    <row r="486" spans="1:20" hidden="1">
      <c r="A486" s="9" t="str">
        <f>CONCATENATE($A$485,".",B486)</f>
        <v>3.1.8.1</v>
      </c>
      <c r="B486" s="9">
        <f>IF(B485=" ",1,B485+1)</f>
        <v>1</v>
      </c>
      <c r="C486" s="10" t="s">
        <v>607</v>
      </c>
      <c r="D486" s="11" t="s">
        <v>422</v>
      </c>
      <c r="E486" s="11" t="s">
        <v>29</v>
      </c>
      <c r="F486" s="15" t="str">
        <f>IF(Tabla15[[#This Row],[Columna1]]="","actividad","subactividad")</f>
        <v>subactividad</v>
      </c>
      <c r="G486" s="12"/>
      <c r="H486" s="19">
        <f t="shared" si="51"/>
        <v>46261</v>
      </c>
      <c r="I486" s="19">
        <f>IF(Tabla15[[#This Row],[Duracion ideal (dia)]]="",I485,Tabla15[[#This Row],[Inicio ideal]]+Tabla15[[#This Row],[Duracion ideal (dia)]])</f>
        <v>46261</v>
      </c>
      <c r="J486" s="12"/>
      <c r="K486" s="19">
        <f>IF(Tabla15[[#This Row],[Duracion Real (dia)]]="",K485,L485)</f>
        <v>46277</v>
      </c>
      <c r="L486" s="19">
        <f>IF(Tabla15[[#This Row],[Duracion Real (dia)]]="",L485,Tabla15[[#This Row],[Inicio Real]]+Tabla15[[#This Row],[Duracion Real (dia)]])</f>
        <v>46283</v>
      </c>
      <c r="M486" s="12"/>
      <c r="N486" s="19" t="s">
        <v>35</v>
      </c>
      <c r="O486" s="13" t="s">
        <v>35</v>
      </c>
      <c r="P486" s="13" t="s">
        <v>35</v>
      </c>
      <c r="Q486" s="13" t="s">
        <v>35</v>
      </c>
      <c r="R486" s="13" t="s">
        <v>35</v>
      </c>
      <c r="S486" s="13" t="s">
        <v>35</v>
      </c>
      <c r="T486" s="13" t="s">
        <v>35</v>
      </c>
    </row>
    <row r="487" spans="1:20" hidden="1">
      <c r="A487" s="9" t="str">
        <f>CONCATENATE($A$485,".",B487)</f>
        <v>3.1.8.2</v>
      </c>
      <c r="B487" s="9">
        <f>IF(B486=" ",1,B486+1)</f>
        <v>2</v>
      </c>
      <c r="C487" s="20" t="s">
        <v>608</v>
      </c>
      <c r="D487" s="15" t="s">
        <v>422</v>
      </c>
      <c r="E487" s="15" t="s">
        <v>29</v>
      </c>
      <c r="F487" s="15" t="str">
        <f>IF(Tabla15[[#This Row],[Columna1]]="","actividad","subactividad")</f>
        <v>subactividad</v>
      </c>
      <c r="G487" s="16"/>
      <c r="H487" s="19">
        <f t="shared" si="51"/>
        <v>46261</v>
      </c>
      <c r="I487" s="19">
        <f>IF(Tabla15[[#This Row],[Duracion ideal (dia)]]="",I486,Tabla15[[#This Row],[Inicio ideal]]+Tabla15[[#This Row],[Duracion ideal (dia)]])</f>
        <v>46261</v>
      </c>
      <c r="J487" s="16"/>
      <c r="K487" s="19">
        <f>IF(Tabla15[[#This Row],[Duracion Real (dia)]]="",K486,L486)</f>
        <v>46277</v>
      </c>
      <c r="L487" s="19">
        <f>IF(Tabla15[[#This Row],[Duracion Real (dia)]]="",L486,Tabla15[[#This Row],[Inicio Real]]+Tabla15[[#This Row],[Duracion Real (dia)]])</f>
        <v>46283</v>
      </c>
      <c r="M487" s="16"/>
      <c r="N487" s="19" t="s">
        <v>35</v>
      </c>
      <c r="O487" s="13" t="s">
        <v>35</v>
      </c>
      <c r="P487" s="13" t="s">
        <v>35</v>
      </c>
      <c r="Q487" s="13" t="s">
        <v>35</v>
      </c>
      <c r="R487" s="13" t="s">
        <v>35</v>
      </c>
      <c r="S487" s="13" t="s">
        <v>35</v>
      </c>
      <c r="T487" s="13" t="s">
        <v>35</v>
      </c>
    </row>
    <row r="488" spans="1:20" hidden="1">
      <c r="A488" s="9" t="str">
        <f>CONCATENATE($A$485,".",B488)</f>
        <v>3.1.8.3</v>
      </c>
      <c r="B488" s="9">
        <f>IF(B487=" ",1,B487+1)</f>
        <v>3</v>
      </c>
      <c r="C488" s="10" t="s">
        <v>609</v>
      </c>
      <c r="D488" s="11" t="s">
        <v>422</v>
      </c>
      <c r="E488" s="11" t="s">
        <v>29</v>
      </c>
      <c r="F488" s="15" t="str">
        <f>IF(Tabla15[[#This Row],[Columna1]]="","actividad","subactividad")</f>
        <v>subactividad</v>
      </c>
      <c r="G488" s="12"/>
      <c r="H488" s="19">
        <f t="shared" si="51"/>
        <v>46261</v>
      </c>
      <c r="I488" s="19">
        <f>IF(Tabla15[[#This Row],[Duracion ideal (dia)]]="",I487,Tabla15[[#This Row],[Inicio ideal]]+Tabla15[[#This Row],[Duracion ideal (dia)]])</f>
        <v>46261</v>
      </c>
      <c r="J488" s="12"/>
      <c r="K488" s="19">
        <f>IF(Tabla15[[#This Row],[Duracion Real (dia)]]="",K487,L487)</f>
        <v>46277</v>
      </c>
      <c r="L488" s="19">
        <f>IF(Tabla15[[#This Row],[Duracion Real (dia)]]="",L487,Tabla15[[#This Row],[Inicio Real]]+Tabla15[[#This Row],[Duracion Real (dia)]])</f>
        <v>46283</v>
      </c>
      <c r="M488" s="12"/>
      <c r="N488" s="19" t="s">
        <v>35</v>
      </c>
      <c r="O488" s="13" t="s">
        <v>35</v>
      </c>
      <c r="P488" s="13" t="s">
        <v>35</v>
      </c>
      <c r="Q488" s="13" t="s">
        <v>35</v>
      </c>
      <c r="R488" s="13" t="s">
        <v>35</v>
      </c>
      <c r="S488" s="13" t="s">
        <v>35</v>
      </c>
      <c r="T488" s="13" t="s">
        <v>35</v>
      </c>
    </row>
    <row r="489" spans="1:20" hidden="1">
      <c r="A489" s="9" t="s">
        <v>610</v>
      </c>
      <c r="B489" s="9">
        <f>IF(B488=" ",1,B488+1)</f>
        <v>4</v>
      </c>
      <c r="C489" s="17" t="s">
        <v>611</v>
      </c>
      <c r="D489" s="15" t="s">
        <v>422</v>
      </c>
      <c r="E489" s="15" t="s">
        <v>85</v>
      </c>
      <c r="F489" s="15" t="str">
        <f>IF(Tabla15[[#This Row],[Columna1]]="","actividad","subactividad")</f>
        <v>subactividad</v>
      </c>
      <c r="G489" s="16"/>
      <c r="H489" s="19">
        <f t="shared" si="51"/>
        <v>46261</v>
      </c>
      <c r="I489" s="19">
        <f>IF(Tabla15[[#This Row],[Duracion ideal (dia)]]="",I488,Tabla15[[#This Row],[Inicio ideal]]+Tabla15[[#This Row],[Duracion ideal (dia)]])</f>
        <v>46261</v>
      </c>
      <c r="J489" s="16"/>
      <c r="K489" s="19">
        <f>IF(Tabla15[[#This Row],[Duracion Real (dia)]]="",K488,L488)</f>
        <v>46277</v>
      </c>
      <c r="L489" s="19">
        <f>IF(Tabla15[[#This Row],[Duracion Real (dia)]]="",L488,Tabla15[[#This Row],[Inicio Real]]+Tabla15[[#This Row],[Duracion Real (dia)]])</f>
        <v>46283</v>
      </c>
      <c r="M489" s="16"/>
      <c r="N489" s="19" t="s">
        <v>35</v>
      </c>
      <c r="O489" s="13" t="s">
        <v>35</v>
      </c>
      <c r="P489" s="13" t="s">
        <v>35</v>
      </c>
      <c r="Q489" s="13" t="s">
        <v>35</v>
      </c>
      <c r="R489" s="13" t="s">
        <v>35</v>
      </c>
      <c r="S489" s="13" t="s">
        <v>35</v>
      </c>
      <c r="T489" s="13" t="s">
        <v>35</v>
      </c>
    </row>
    <row r="490" spans="1:20">
      <c r="A490" s="9" t="s">
        <v>612</v>
      </c>
      <c r="B490" s="9"/>
      <c r="C490" s="22" t="s">
        <v>613</v>
      </c>
      <c r="D490" s="11" t="s">
        <v>422</v>
      </c>
      <c r="E490" s="11" t="s">
        <v>85</v>
      </c>
      <c r="F490" s="15" t="str">
        <f>IF(Tabla15[[#This Row],[Columna1]]="","actividad","subactividad")</f>
        <v>actividad</v>
      </c>
      <c r="G490" s="12" t="s">
        <v>32</v>
      </c>
      <c r="H490" s="24">
        <f t="shared" ref="H490:H553" si="52">I489</f>
        <v>46261</v>
      </c>
      <c r="I490" s="24">
        <f>IF(Tabla15[[#This Row],[Duracion ideal (dia)]]="",I489,Tabla15[[#This Row],[Inicio ideal]]+Tabla15[[#This Row],[Duracion ideal (dia)]])</f>
        <v>46263</v>
      </c>
      <c r="J490" s="12">
        <v>2</v>
      </c>
      <c r="K490" s="24">
        <f>IF(Tabla15[[#This Row],[Duracion Real (dia)]]="",K489,L489)</f>
        <v>46283</v>
      </c>
      <c r="L490" s="24">
        <f>IF(Tabla15[[#This Row],[Duracion Real (dia)]]="",L489,Tabla15[[#This Row],[Inicio Real]]+Tabla15[[#This Row],[Duracion Real (dia)]])</f>
        <v>46285</v>
      </c>
      <c r="M490" s="12">
        <v>2</v>
      </c>
      <c r="N490" s="19" t="s">
        <v>60</v>
      </c>
      <c r="O490" s="13">
        <v>50192.42</v>
      </c>
      <c r="P490" s="13">
        <v>2492.3000000000002</v>
      </c>
      <c r="Q490" s="13">
        <v>52684.72</v>
      </c>
      <c r="R490" s="13">
        <v>53882.720000000001</v>
      </c>
      <c r="S490" s="13">
        <v>65250.146000000001</v>
      </c>
      <c r="T490" s="13">
        <v>65250.146000000001</v>
      </c>
    </row>
    <row r="491" spans="1:20" hidden="1">
      <c r="A491" s="9" t="str">
        <f>CONCATENATE($A$490,".",B491)</f>
        <v>3.2.1.1</v>
      </c>
      <c r="B491" s="9">
        <f t="shared" ref="B491:B501" si="53">IF(B490=" ",1,B490+1)</f>
        <v>1</v>
      </c>
      <c r="C491" s="20" t="s">
        <v>614</v>
      </c>
      <c r="D491" s="15" t="s">
        <v>422</v>
      </c>
      <c r="E491" s="15" t="s">
        <v>85</v>
      </c>
      <c r="F491" s="15" t="str">
        <f>IF(Tabla15[[#This Row],[Columna1]]="","actividad","subactividad")</f>
        <v>subactividad</v>
      </c>
      <c r="G491" s="16"/>
      <c r="H491" s="19">
        <f t="shared" si="52"/>
        <v>46263</v>
      </c>
      <c r="I491" s="19">
        <f>IF(Tabla15[[#This Row],[Duracion ideal (dia)]]="",I490,Tabla15[[#This Row],[Inicio ideal]]+Tabla15[[#This Row],[Duracion ideal (dia)]])</f>
        <v>46263</v>
      </c>
      <c r="J491" s="16"/>
      <c r="K491" s="19">
        <f>IF(Tabla15[[#This Row],[Duracion Real (dia)]]="",K490,L490)</f>
        <v>46283</v>
      </c>
      <c r="L491" s="19">
        <f>IF(Tabla15[[#This Row],[Duracion Real (dia)]]="",L490,Tabla15[[#This Row],[Inicio Real]]+Tabla15[[#This Row],[Duracion Real (dia)]])</f>
        <v>46285</v>
      </c>
      <c r="M491" s="16"/>
      <c r="N491" s="19" t="s">
        <v>35</v>
      </c>
      <c r="O491" s="13" t="s">
        <v>35</v>
      </c>
      <c r="P491" s="13" t="s">
        <v>35</v>
      </c>
      <c r="Q491" s="13" t="s">
        <v>35</v>
      </c>
      <c r="R491" s="13" t="s">
        <v>35</v>
      </c>
      <c r="S491" s="13" t="s">
        <v>35</v>
      </c>
      <c r="T491" s="13" t="s">
        <v>35</v>
      </c>
    </row>
    <row r="492" spans="1:20" hidden="1">
      <c r="A492" s="9" t="str">
        <f>CONCATENATE($A$490,".",B492)</f>
        <v>3.2.1.2</v>
      </c>
      <c r="B492" s="9">
        <f t="shared" si="53"/>
        <v>2</v>
      </c>
      <c r="C492" s="10" t="s">
        <v>615</v>
      </c>
      <c r="D492" s="11" t="s">
        <v>422</v>
      </c>
      <c r="E492" s="11" t="s">
        <v>85</v>
      </c>
      <c r="F492" s="15" t="str">
        <f>IF(Tabla15[[#This Row],[Columna1]]="","actividad","subactividad")</f>
        <v>subactividad</v>
      </c>
      <c r="G492" s="12"/>
      <c r="H492" s="19">
        <f t="shared" si="52"/>
        <v>46263</v>
      </c>
      <c r="I492" s="19">
        <f>IF(Tabla15[[#This Row],[Duracion ideal (dia)]]="",I491,Tabla15[[#This Row],[Inicio ideal]]+Tabla15[[#This Row],[Duracion ideal (dia)]])</f>
        <v>46263</v>
      </c>
      <c r="J492" s="12"/>
      <c r="K492" s="19">
        <f>IF(Tabla15[[#This Row],[Duracion Real (dia)]]="",K491,L491)</f>
        <v>46283</v>
      </c>
      <c r="L492" s="19">
        <f>IF(Tabla15[[#This Row],[Duracion Real (dia)]]="",L491,Tabla15[[#This Row],[Inicio Real]]+Tabla15[[#This Row],[Duracion Real (dia)]])</f>
        <v>46285</v>
      </c>
      <c r="M492" s="12"/>
      <c r="N492" s="19" t="s">
        <v>35</v>
      </c>
      <c r="O492" s="13" t="s">
        <v>35</v>
      </c>
      <c r="P492" s="13" t="s">
        <v>35</v>
      </c>
      <c r="Q492" s="13" t="s">
        <v>35</v>
      </c>
      <c r="R492" s="13" t="s">
        <v>35</v>
      </c>
      <c r="S492" s="13" t="s">
        <v>35</v>
      </c>
      <c r="T492" s="13" t="s">
        <v>35</v>
      </c>
    </row>
    <row r="493" spans="1:20" hidden="1">
      <c r="A493" s="9" t="str">
        <f>CONCATENATE($A$490,".",B493)</f>
        <v>3.2.1.3</v>
      </c>
      <c r="B493" s="9">
        <f t="shared" si="53"/>
        <v>3</v>
      </c>
      <c r="C493" s="20" t="s">
        <v>616</v>
      </c>
      <c r="D493" s="15" t="s">
        <v>422</v>
      </c>
      <c r="E493" s="15" t="s">
        <v>85</v>
      </c>
      <c r="F493" s="15" t="str">
        <f>IF(Tabla15[[#This Row],[Columna1]]="","actividad","subactividad")</f>
        <v>subactividad</v>
      </c>
      <c r="G493" s="16"/>
      <c r="H493" s="19">
        <f t="shared" si="52"/>
        <v>46263</v>
      </c>
      <c r="I493" s="19">
        <f>IF(Tabla15[[#This Row],[Duracion ideal (dia)]]="",I492,Tabla15[[#This Row],[Inicio ideal]]+Tabla15[[#This Row],[Duracion ideal (dia)]])</f>
        <v>46263</v>
      </c>
      <c r="J493" s="16"/>
      <c r="K493" s="19">
        <f>IF(Tabla15[[#This Row],[Duracion Real (dia)]]="",K492,L492)</f>
        <v>46283</v>
      </c>
      <c r="L493" s="19">
        <f>IF(Tabla15[[#This Row],[Duracion Real (dia)]]="",L492,Tabla15[[#This Row],[Inicio Real]]+Tabla15[[#This Row],[Duracion Real (dia)]])</f>
        <v>46285</v>
      </c>
      <c r="M493" s="16"/>
      <c r="N493" s="19" t="s">
        <v>35</v>
      </c>
      <c r="O493" s="13" t="s">
        <v>35</v>
      </c>
      <c r="P493" s="13" t="s">
        <v>35</v>
      </c>
      <c r="Q493" s="13" t="s">
        <v>35</v>
      </c>
      <c r="R493" s="13" t="s">
        <v>35</v>
      </c>
      <c r="S493" s="13" t="s">
        <v>35</v>
      </c>
      <c r="T493" s="13" t="s">
        <v>35</v>
      </c>
    </row>
    <row r="494" spans="1:20" hidden="1">
      <c r="A494" s="9" t="str">
        <f>CONCATENATE($A$490,".",B494)</f>
        <v>3.2.1.4</v>
      </c>
      <c r="B494" s="9">
        <f t="shared" si="53"/>
        <v>4</v>
      </c>
      <c r="C494" s="10" t="s">
        <v>617</v>
      </c>
      <c r="D494" s="11" t="s">
        <v>422</v>
      </c>
      <c r="E494" s="11" t="s">
        <v>85</v>
      </c>
      <c r="F494" s="15" t="str">
        <f>IF(Tabla15[[#This Row],[Columna1]]="","actividad","subactividad")</f>
        <v>subactividad</v>
      </c>
      <c r="G494" s="12"/>
      <c r="H494" s="19">
        <f t="shared" si="52"/>
        <v>46263</v>
      </c>
      <c r="I494" s="19">
        <f>IF(Tabla15[[#This Row],[Duracion ideal (dia)]]="",I493,Tabla15[[#This Row],[Inicio ideal]]+Tabla15[[#This Row],[Duracion ideal (dia)]])</f>
        <v>46263</v>
      </c>
      <c r="J494" s="12"/>
      <c r="K494" s="19">
        <f>IF(Tabla15[[#This Row],[Duracion Real (dia)]]="",K493,L493)</f>
        <v>46283</v>
      </c>
      <c r="L494" s="19">
        <f>IF(Tabla15[[#This Row],[Duracion Real (dia)]]="",L493,Tabla15[[#This Row],[Inicio Real]]+Tabla15[[#This Row],[Duracion Real (dia)]])</f>
        <v>46285</v>
      </c>
      <c r="M494" s="12"/>
      <c r="N494" s="19" t="s">
        <v>35</v>
      </c>
      <c r="O494" s="13" t="s">
        <v>35</v>
      </c>
      <c r="P494" s="13" t="s">
        <v>35</v>
      </c>
      <c r="Q494" s="13" t="s">
        <v>35</v>
      </c>
      <c r="R494" s="13" t="s">
        <v>35</v>
      </c>
      <c r="S494" s="13" t="s">
        <v>35</v>
      </c>
      <c r="T494" s="13" t="s">
        <v>35</v>
      </c>
    </row>
    <row r="495" spans="1:20" hidden="1">
      <c r="A495" s="9" t="s">
        <v>618</v>
      </c>
      <c r="B495" s="9">
        <f t="shared" si="53"/>
        <v>5</v>
      </c>
      <c r="C495" s="17" t="s">
        <v>619</v>
      </c>
      <c r="D495" s="15" t="s">
        <v>422</v>
      </c>
      <c r="E495" s="15" t="s">
        <v>85</v>
      </c>
      <c r="F495" s="15" t="str">
        <f>IF(Tabla15[[#This Row],[Columna1]]="","actividad","subactividad")</f>
        <v>subactividad</v>
      </c>
      <c r="G495" s="16"/>
      <c r="H495" s="19">
        <f t="shared" si="52"/>
        <v>46263</v>
      </c>
      <c r="I495" s="19">
        <f>IF(Tabla15[[#This Row],[Duracion ideal (dia)]]="",I494,Tabla15[[#This Row],[Inicio ideal]]+Tabla15[[#This Row],[Duracion ideal (dia)]])</f>
        <v>46263</v>
      </c>
      <c r="J495" s="16"/>
      <c r="K495" s="19">
        <f>IF(Tabla15[[#This Row],[Duracion Real (dia)]]="",K494,L494)</f>
        <v>46283</v>
      </c>
      <c r="L495" s="19">
        <f>IF(Tabla15[[#This Row],[Duracion Real (dia)]]="",L494,Tabla15[[#This Row],[Inicio Real]]+Tabla15[[#This Row],[Duracion Real (dia)]])</f>
        <v>46285</v>
      </c>
      <c r="M495" s="16"/>
      <c r="N495" s="19" t="s">
        <v>35</v>
      </c>
      <c r="O495" s="13" t="s">
        <v>35</v>
      </c>
      <c r="P495" s="13" t="s">
        <v>35</v>
      </c>
      <c r="Q495" s="13" t="s">
        <v>35</v>
      </c>
      <c r="R495" s="13" t="s">
        <v>35</v>
      </c>
      <c r="S495" s="13" t="s">
        <v>35</v>
      </c>
      <c r="T495" s="13" t="s">
        <v>35</v>
      </c>
    </row>
    <row r="496" spans="1:20" hidden="1">
      <c r="A496" s="9" t="s">
        <v>620</v>
      </c>
      <c r="B496" s="9">
        <f t="shared" si="53"/>
        <v>6</v>
      </c>
      <c r="C496" s="22" t="s">
        <v>621</v>
      </c>
      <c r="D496" s="11" t="s">
        <v>422</v>
      </c>
      <c r="E496" s="11" t="s">
        <v>111</v>
      </c>
      <c r="F496" s="15" t="str">
        <f>IF(Tabla15[[#This Row],[Columna1]]="","actividad","subactividad")</f>
        <v>subactividad</v>
      </c>
      <c r="G496" s="12"/>
      <c r="H496" s="19">
        <f t="shared" si="52"/>
        <v>46263</v>
      </c>
      <c r="I496" s="19">
        <f>IF(Tabla15[[#This Row],[Duracion ideal (dia)]]="",I495,Tabla15[[#This Row],[Inicio ideal]]+Tabla15[[#This Row],[Duracion ideal (dia)]])</f>
        <v>46263</v>
      </c>
      <c r="J496" s="12"/>
      <c r="K496" s="19">
        <f>IF(Tabla15[[#This Row],[Duracion Real (dia)]]="",K495,L495)</f>
        <v>46283</v>
      </c>
      <c r="L496" s="19">
        <f>IF(Tabla15[[#This Row],[Duracion Real (dia)]]="",L495,Tabla15[[#This Row],[Inicio Real]]+Tabla15[[#This Row],[Duracion Real (dia)]])</f>
        <v>46285</v>
      </c>
      <c r="M496" s="12"/>
      <c r="N496" s="19" t="s">
        <v>35</v>
      </c>
      <c r="O496" s="13" t="s">
        <v>35</v>
      </c>
      <c r="P496" s="13" t="s">
        <v>35</v>
      </c>
      <c r="Q496" s="13" t="s">
        <v>35</v>
      </c>
      <c r="R496" s="13" t="s">
        <v>35</v>
      </c>
      <c r="S496" s="13" t="s">
        <v>35</v>
      </c>
      <c r="T496" s="13" t="s">
        <v>35</v>
      </c>
    </row>
    <row r="497" spans="1:20" hidden="1">
      <c r="A497" s="9" t="str">
        <f>CONCATENATE($A$496,".",B497)</f>
        <v>3.3.1.7</v>
      </c>
      <c r="B497" s="9">
        <f t="shared" si="53"/>
        <v>7</v>
      </c>
      <c r="C497" s="20" t="s">
        <v>622</v>
      </c>
      <c r="D497" s="15" t="s">
        <v>422</v>
      </c>
      <c r="E497" s="15" t="s">
        <v>111</v>
      </c>
      <c r="F497" s="15" t="str">
        <f>IF(Tabla15[[#This Row],[Columna1]]="","actividad","subactividad")</f>
        <v>subactividad</v>
      </c>
      <c r="G497" s="16"/>
      <c r="H497" s="19">
        <f t="shared" si="52"/>
        <v>46263</v>
      </c>
      <c r="I497" s="19">
        <f>IF(Tabla15[[#This Row],[Duracion ideal (dia)]]="",I496,Tabla15[[#This Row],[Inicio ideal]]+Tabla15[[#This Row],[Duracion ideal (dia)]])</f>
        <v>46263</v>
      </c>
      <c r="J497" s="16"/>
      <c r="K497" s="19">
        <f>IF(Tabla15[[#This Row],[Duracion Real (dia)]]="",K496,L496)</f>
        <v>46283</v>
      </c>
      <c r="L497" s="19">
        <f>IF(Tabla15[[#This Row],[Duracion Real (dia)]]="",L496,Tabla15[[#This Row],[Inicio Real]]+Tabla15[[#This Row],[Duracion Real (dia)]])</f>
        <v>46285</v>
      </c>
      <c r="M497" s="16"/>
      <c r="N497" s="19" t="s">
        <v>35</v>
      </c>
      <c r="O497" s="13" t="s">
        <v>35</v>
      </c>
      <c r="P497" s="13" t="s">
        <v>35</v>
      </c>
      <c r="Q497" s="13" t="s">
        <v>35</v>
      </c>
      <c r="R497" s="13" t="s">
        <v>35</v>
      </c>
      <c r="S497" s="13" t="s">
        <v>35</v>
      </c>
      <c r="T497" s="13" t="s">
        <v>35</v>
      </c>
    </row>
    <row r="498" spans="1:20" hidden="1">
      <c r="A498" s="9" t="str">
        <f>CONCATENATE($A$496,".",B498)</f>
        <v>3.3.1.8</v>
      </c>
      <c r="B498" s="9">
        <f t="shared" si="53"/>
        <v>8</v>
      </c>
      <c r="C498" s="10" t="s">
        <v>623</v>
      </c>
      <c r="D498" s="11" t="s">
        <v>422</v>
      </c>
      <c r="E498" s="11" t="s">
        <v>111</v>
      </c>
      <c r="F498" s="15" t="str">
        <f>IF(Tabla15[[#This Row],[Columna1]]="","actividad","subactividad")</f>
        <v>subactividad</v>
      </c>
      <c r="G498" s="12"/>
      <c r="H498" s="19">
        <f t="shared" si="52"/>
        <v>46263</v>
      </c>
      <c r="I498" s="19">
        <f>IF(Tabla15[[#This Row],[Duracion ideal (dia)]]="",I497,Tabla15[[#This Row],[Inicio ideal]]+Tabla15[[#This Row],[Duracion ideal (dia)]])</f>
        <v>46263</v>
      </c>
      <c r="J498" s="12"/>
      <c r="K498" s="19">
        <f>IF(Tabla15[[#This Row],[Duracion Real (dia)]]="",K497,L497)</f>
        <v>46283</v>
      </c>
      <c r="L498" s="19">
        <f>IF(Tabla15[[#This Row],[Duracion Real (dia)]]="",L497,Tabla15[[#This Row],[Inicio Real]]+Tabla15[[#This Row],[Duracion Real (dia)]])</f>
        <v>46285</v>
      </c>
      <c r="M498" s="12"/>
      <c r="N498" s="19" t="s">
        <v>35</v>
      </c>
      <c r="O498" s="13" t="s">
        <v>35</v>
      </c>
      <c r="P498" s="13" t="s">
        <v>35</v>
      </c>
      <c r="Q498" s="13" t="s">
        <v>35</v>
      </c>
      <c r="R498" s="13" t="s">
        <v>35</v>
      </c>
      <c r="S498" s="13" t="s">
        <v>35</v>
      </c>
      <c r="T498" s="13" t="s">
        <v>35</v>
      </c>
    </row>
    <row r="499" spans="1:20" hidden="1">
      <c r="A499" s="9" t="str">
        <f>CONCATENATE($A$496,".",B499)</f>
        <v>3.3.1.9</v>
      </c>
      <c r="B499" s="9">
        <f t="shared" si="53"/>
        <v>9</v>
      </c>
      <c r="C499" s="20" t="s">
        <v>624</v>
      </c>
      <c r="D499" s="15" t="s">
        <v>422</v>
      </c>
      <c r="E499" s="15" t="s">
        <v>111</v>
      </c>
      <c r="F499" s="15" t="str">
        <f>IF(Tabla15[[#This Row],[Columna1]]="","actividad","subactividad")</f>
        <v>subactividad</v>
      </c>
      <c r="G499" s="16"/>
      <c r="H499" s="19">
        <f t="shared" si="52"/>
        <v>46263</v>
      </c>
      <c r="I499" s="19">
        <f>IF(Tabla15[[#This Row],[Duracion ideal (dia)]]="",I498,Tabla15[[#This Row],[Inicio ideal]]+Tabla15[[#This Row],[Duracion ideal (dia)]])</f>
        <v>46263</v>
      </c>
      <c r="J499" s="16"/>
      <c r="K499" s="19">
        <f>IF(Tabla15[[#This Row],[Duracion Real (dia)]]="",K498,L498)</f>
        <v>46283</v>
      </c>
      <c r="L499" s="19">
        <f>IF(Tabla15[[#This Row],[Duracion Real (dia)]]="",L498,Tabla15[[#This Row],[Inicio Real]]+Tabla15[[#This Row],[Duracion Real (dia)]])</f>
        <v>46285</v>
      </c>
      <c r="M499" s="16"/>
      <c r="N499" s="19" t="s">
        <v>35</v>
      </c>
      <c r="O499" s="13" t="s">
        <v>35</v>
      </c>
      <c r="P499" s="13" t="s">
        <v>35</v>
      </c>
      <c r="Q499" s="13" t="s">
        <v>35</v>
      </c>
      <c r="R499" s="13" t="s">
        <v>35</v>
      </c>
      <c r="S499" s="13" t="s">
        <v>35</v>
      </c>
      <c r="T499" s="13" t="s">
        <v>35</v>
      </c>
    </row>
    <row r="500" spans="1:20" hidden="1">
      <c r="A500" s="9" t="str">
        <f>CONCATENATE($A$496,".",B500)</f>
        <v>3.3.1.10</v>
      </c>
      <c r="B500" s="9">
        <f t="shared" si="53"/>
        <v>10</v>
      </c>
      <c r="C500" s="10" t="s">
        <v>625</v>
      </c>
      <c r="D500" s="11" t="s">
        <v>422</v>
      </c>
      <c r="E500" s="11" t="s">
        <v>111</v>
      </c>
      <c r="F500" s="15" t="str">
        <f>IF(Tabla15[[#This Row],[Columna1]]="","actividad","subactividad")</f>
        <v>subactividad</v>
      </c>
      <c r="G500" s="12"/>
      <c r="H500" s="19">
        <f t="shared" si="52"/>
        <v>46263</v>
      </c>
      <c r="I500" s="19">
        <f>IF(Tabla15[[#This Row],[Duracion ideal (dia)]]="",I499,Tabla15[[#This Row],[Inicio ideal]]+Tabla15[[#This Row],[Duracion ideal (dia)]])</f>
        <v>46263</v>
      </c>
      <c r="J500" s="12"/>
      <c r="K500" s="19">
        <f>IF(Tabla15[[#This Row],[Duracion Real (dia)]]="",K499,L499)</f>
        <v>46283</v>
      </c>
      <c r="L500" s="19">
        <f>IF(Tabla15[[#This Row],[Duracion Real (dia)]]="",L499,Tabla15[[#This Row],[Inicio Real]]+Tabla15[[#This Row],[Duracion Real (dia)]])</f>
        <v>46285</v>
      </c>
      <c r="M500" s="12"/>
      <c r="N500" s="19" t="s">
        <v>35</v>
      </c>
      <c r="O500" s="13" t="s">
        <v>35</v>
      </c>
      <c r="P500" s="13" t="s">
        <v>35</v>
      </c>
      <c r="Q500" s="13" t="s">
        <v>35</v>
      </c>
      <c r="R500" s="13" t="s">
        <v>35</v>
      </c>
      <c r="S500" s="13" t="s">
        <v>35</v>
      </c>
      <c r="T500" s="13" t="s">
        <v>35</v>
      </c>
    </row>
    <row r="501" spans="1:20" hidden="1">
      <c r="A501" s="9" t="str">
        <f>CONCATENATE($A$496,".",B501)</f>
        <v>3.3.1.11</v>
      </c>
      <c r="B501" s="9">
        <f t="shared" si="53"/>
        <v>11</v>
      </c>
      <c r="C501" s="20" t="s">
        <v>626</v>
      </c>
      <c r="D501" s="15" t="s">
        <v>422</v>
      </c>
      <c r="E501" s="15" t="s">
        <v>111</v>
      </c>
      <c r="F501" s="15" t="str">
        <f>IF(Tabla15[[#This Row],[Columna1]]="","actividad","subactividad")</f>
        <v>subactividad</v>
      </c>
      <c r="G501" s="16"/>
      <c r="H501" s="19">
        <f t="shared" si="52"/>
        <v>46263</v>
      </c>
      <c r="I501" s="19">
        <f>IF(Tabla15[[#This Row],[Duracion ideal (dia)]]="",I500,Tabla15[[#This Row],[Inicio ideal]]+Tabla15[[#This Row],[Duracion ideal (dia)]])</f>
        <v>46263</v>
      </c>
      <c r="J501" s="16"/>
      <c r="K501" s="19">
        <f>IF(Tabla15[[#This Row],[Duracion Real (dia)]]="",K500,L500)</f>
        <v>46283</v>
      </c>
      <c r="L501" s="19">
        <f>IF(Tabla15[[#This Row],[Duracion Real (dia)]]="",L500,Tabla15[[#This Row],[Inicio Real]]+Tabla15[[#This Row],[Duracion Real (dia)]])</f>
        <v>46285</v>
      </c>
      <c r="M501" s="16"/>
      <c r="N501" s="19" t="s">
        <v>35</v>
      </c>
      <c r="O501" s="13" t="s">
        <v>35</v>
      </c>
      <c r="P501" s="13" t="s">
        <v>35</v>
      </c>
      <c r="Q501" s="13" t="s">
        <v>35</v>
      </c>
      <c r="R501" s="13" t="s">
        <v>35</v>
      </c>
      <c r="S501" s="13" t="s">
        <v>35</v>
      </c>
      <c r="T501" s="13" t="s">
        <v>35</v>
      </c>
    </row>
    <row r="502" spans="1:20">
      <c r="A502" s="9">
        <v>4</v>
      </c>
      <c r="B502" s="9"/>
      <c r="C502" s="14" t="s">
        <v>627</v>
      </c>
      <c r="D502" s="11" t="s">
        <v>627</v>
      </c>
      <c r="E502" s="11">
        <v>0</v>
      </c>
      <c r="F502" s="15" t="str">
        <f>IF(Tabla15[[#This Row],[Columna1]]="","actividad","subactividad")</f>
        <v>actividad</v>
      </c>
      <c r="G502" s="12" t="s">
        <v>22</v>
      </c>
      <c r="H502" s="19">
        <f t="shared" si="52"/>
        <v>46263</v>
      </c>
      <c r="I502" s="19">
        <f>IF(Tabla15[[#This Row],[Duracion ideal (dia)]]="",I501,Tabla15[[#This Row],[Inicio ideal]]+Tabla15[[#This Row],[Duracion ideal (dia)]])</f>
        <v>46263</v>
      </c>
      <c r="J502" s="12"/>
      <c r="K502" s="19">
        <f>IF(Tabla15[[#This Row],[Duracion Real (dia)]]="",K501,L501)</f>
        <v>46283</v>
      </c>
      <c r="L502" s="19">
        <f>IF(Tabla15[[#This Row],[Duracion Real (dia)]]="",L501,Tabla15[[#This Row],[Inicio Real]]+Tabla15[[#This Row],[Duracion Real (dia)]])</f>
        <v>46285</v>
      </c>
      <c r="M502" s="12"/>
      <c r="N502" s="19" t="s">
        <v>35</v>
      </c>
      <c r="O502" s="13" t="s">
        <v>35</v>
      </c>
      <c r="P502" s="13" t="s">
        <v>35</v>
      </c>
      <c r="Q502" s="13" t="s">
        <v>35</v>
      </c>
      <c r="R502" s="13" t="s">
        <v>35</v>
      </c>
      <c r="S502" s="13" t="s">
        <v>35</v>
      </c>
      <c r="T502" s="13" t="s">
        <v>35</v>
      </c>
    </row>
    <row r="503" spans="1:20">
      <c r="A503" s="9" t="s">
        <v>628</v>
      </c>
      <c r="B503" s="9"/>
      <c r="C503" s="17" t="s">
        <v>629</v>
      </c>
      <c r="D503" s="15" t="s">
        <v>627</v>
      </c>
      <c r="E503" s="15" t="s">
        <v>29</v>
      </c>
      <c r="F503" s="15" t="str">
        <f>IF(Tabla15[[#This Row],[Columna1]]="","actividad","subactividad")</f>
        <v>actividad</v>
      </c>
      <c r="G503" s="16" t="s">
        <v>22</v>
      </c>
      <c r="H503" s="19">
        <f t="shared" si="52"/>
        <v>46263</v>
      </c>
      <c r="I503" s="19">
        <f>IF(Tabla15[[#This Row],[Duracion ideal (dia)]]="",I502,Tabla15[[#This Row],[Inicio ideal]]+Tabla15[[#This Row],[Duracion ideal (dia)]])</f>
        <v>46263</v>
      </c>
      <c r="J503" s="16"/>
      <c r="K503" s="19">
        <f>IF(Tabla15[[#This Row],[Duracion Real (dia)]]="",K502,L502)</f>
        <v>46283</v>
      </c>
      <c r="L503" s="19">
        <f>IF(Tabla15[[#This Row],[Duracion Real (dia)]]="",L502,Tabla15[[#This Row],[Inicio Real]]+Tabla15[[#This Row],[Duracion Real (dia)]])</f>
        <v>46285</v>
      </c>
      <c r="M503" s="16"/>
      <c r="N503" s="19" t="s">
        <v>35</v>
      </c>
      <c r="O503" s="13" t="s">
        <v>35</v>
      </c>
      <c r="P503" s="13" t="s">
        <v>35</v>
      </c>
      <c r="Q503" s="13" t="s">
        <v>35</v>
      </c>
      <c r="R503" s="13" t="s">
        <v>35</v>
      </c>
      <c r="S503" s="13" t="s">
        <v>35</v>
      </c>
      <c r="T503" s="13" t="s">
        <v>35</v>
      </c>
    </row>
    <row r="504" spans="1:20">
      <c r="A504" s="9" t="s">
        <v>630</v>
      </c>
      <c r="B504" s="9"/>
      <c r="C504" s="22" t="s">
        <v>631</v>
      </c>
      <c r="D504" s="11" t="s">
        <v>627</v>
      </c>
      <c r="E504" s="11" t="s">
        <v>29</v>
      </c>
      <c r="F504" s="15" t="str">
        <f>IF(Tabla15[[#This Row],[Columna1]]="","actividad","subactividad")</f>
        <v>actividad</v>
      </c>
      <c r="G504" s="12" t="s">
        <v>32</v>
      </c>
      <c r="H504" s="19">
        <f t="shared" si="52"/>
        <v>46263</v>
      </c>
      <c r="I504" s="19">
        <f>IF(Tabla15[[#This Row],[Duracion ideal (dia)]]="",I503,Tabla15[[#This Row],[Inicio ideal]]+Tabla15[[#This Row],[Duracion ideal (dia)]])</f>
        <v>46267</v>
      </c>
      <c r="J504" s="12">
        <v>4</v>
      </c>
      <c r="K504" s="19">
        <f>IF(Tabla15[[#This Row],[Duracion Real (dia)]]="",K503,L503)</f>
        <v>46285</v>
      </c>
      <c r="L504" s="19">
        <f>IF(Tabla15[[#This Row],[Duracion Real (dia)]]="",L503,Tabla15[[#This Row],[Inicio Real]]+Tabla15[[#This Row],[Duracion Real (dia)]])</f>
        <v>46289</v>
      </c>
      <c r="M504" s="12">
        <v>4</v>
      </c>
      <c r="N504" s="19" t="s">
        <v>69</v>
      </c>
      <c r="O504" s="13">
        <v>50192.42</v>
      </c>
      <c r="P504" s="13">
        <v>7380.6</v>
      </c>
      <c r="Q504" s="13">
        <v>57573.02</v>
      </c>
      <c r="R504" s="13">
        <v>56653.94</v>
      </c>
      <c r="S504" s="13">
        <v>65250.146000000001</v>
      </c>
      <c r="T504" s="13">
        <v>65250.146000000001</v>
      </c>
    </row>
    <row r="505" spans="1:20" hidden="1">
      <c r="A505" s="9" t="str">
        <f>CONCATENATE($A$504,".",B505)</f>
        <v>4.1.1.1</v>
      </c>
      <c r="B505" s="9">
        <f>IF(B504=" ",1,B504+1)</f>
        <v>1</v>
      </c>
      <c r="C505" s="20" t="s">
        <v>632</v>
      </c>
      <c r="D505" s="15" t="s">
        <v>627</v>
      </c>
      <c r="E505" s="15" t="s">
        <v>29</v>
      </c>
      <c r="F505" s="15" t="str">
        <f>IF(Tabla15[[#This Row],[Columna1]]="","actividad","subactividad")</f>
        <v>subactividad</v>
      </c>
      <c r="G505" s="16"/>
      <c r="H505" s="19">
        <f t="shared" si="52"/>
        <v>46267</v>
      </c>
      <c r="I505" s="19">
        <f>IF(Tabla15[[#This Row],[Duracion ideal (dia)]]="",I504,Tabla15[[#This Row],[Inicio ideal]]+Tabla15[[#This Row],[Duracion ideal (dia)]])</f>
        <v>46267</v>
      </c>
      <c r="J505" s="16"/>
      <c r="K505" s="19">
        <f>IF(Tabla15[[#This Row],[Duracion Real (dia)]]="",K504,L504)</f>
        <v>46285</v>
      </c>
      <c r="L505" s="19">
        <f>IF(Tabla15[[#This Row],[Duracion Real (dia)]]="",L504,Tabla15[[#This Row],[Inicio Real]]+Tabla15[[#This Row],[Duracion Real (dia)]])</f>
        <v>46289</v>
      </c>
      <c r="M505" s="16"/>
      <c r="N505" s="19" t="s">
        <v>35</v>
      </c>
      <c r="O505" s="13" t="s">
        <v>35</v>
      </c>
      <c r="P505" s="13" t="s">
        <v>35</v>
      </c>
      <c r="Q505" s="13" t="s">
        <v>35</v>
      </c>
      <c r="R505" s="13" t="s">
        <v>35</v>
      </c>
      <c r="S505" s="13" t="s">
        <v>35</v>
      </c>
      <c r="T505" s="13" t="s">
        <v>35</v>
      </c>
    </row>
    <row r="506" spans="1:20" hidden="1">
      <c r="A506" s="9" t="str">
        <f>CONCATENATE($A$504,".",B506)</f>
        <v>4.1.1.2</v>
      </c>
      <c r="B506" s="9">
        <f>IF(B505=" ",1,B505+1)</f>
        <v>2</v>
      </c>
      <c r="C506" s="10" t="s">
        <v>633</v>
      </c>
      <c r="D506" s="11" t="s">
        <v>627</v>
      </c>
      <c r="E506" s="11" t="s">
        <v>29</v>
      </c>
      <c r="F506" s="15" t="str">
        <f>IF(Tabla15[[#This Row],[Columna1]]="","actividad","subactividad")</f>
        <v>subactividad</v>
      </c>
      <c r="G506" s="12"/>
      <c r="H506" s="19">
        <f t="shared" si="52"/>
        <v>46267</v>
      </c>
      <c r="I506" s="19">
        <f>IF(Tabla15[[#This Row],[Duracion ideal (dia)]]="",I505,Tabla15[[#This Row],[Inicio ideal]]+Tabla15[[#This Row],[Duracion ideal (dia)]])</f>
        <v>46267</v>
      </c>
      <c r="J506" s="12"/>
      <c r="K506" s="19">
        <f>IF(Tabla15[[#This Row],[Duracion Real (dia)]]="",K505,L505)</f>
        <v>46285</v>
      </c>
      <c r="L506" s="19">
        <f>IF(Tabla15[[#This Row],[Duracion Real (dia)]]="",L505,Tabla15[[#This Row],[Inicio Real]]+Tabla15[[#This Row],[Duracion Real (dia)]])</f>
        <v>46289</v>
      </c>
      <c r="M506" s="12"/>
      <c r="N506" s="19" t="s">
        <v>35</v>
      </c>
      <c r="O506" s="13" t="s">
        <v>35</v>
      </c>
      <c r="P506" s="13" t="s">
        <v>35</v>
      </c>
      <c r="Q506" s="13" t="s">
        <v>35</v>
      </c>
      <c r="R506" s="13" t="s">
        <v>35</v>
      </c>
      <c r="S506" s="13" t="s">
        <v>35</v>
      </c>
      <c r="T506" s="13" t="s">
        <v>35</v>
      </c>
    </row>
    <row r="507" spans="1:20" hidden="1">
      <c r="A507" s="9" t="str">
        <f>CONCATENATE($A$504,".",B507)</f>
        <v>4.1.1.3</v>
      </c>
      <c r="B507" s="9">
        <f>IF(B506=" ",1,B506+1)</f>
        <v>3</v>
      </c>
      <c r="C507" s="20" t="s">
        <v>634</v>
      </c>
      <c r="D507" s="15" t="s">
        <v>627</v>
      </c>
      <c r="E507" s="15" t="s">
        <v>29</v>
      </c>
      <c r="F507" s="15" t="str">
        <f>IF(Tabla15[[#This Row],[Columna1]]="","actividad","subactividad")</f>
        <v>subactividad</v>
      </c>
      <c r="G507" s="16"/>
      <c r="H507" s="19">
        <f t="shared" si="52"/>
        <v>46267</v>
      </c>
      <c r="I507" s="19">
        <f>IF(Tabla15[[#This Row],[Duracion ideal (dia)]]="",I506,Tabla15[[#This Row],[Inicio ideal]]+Tabla15[[#This Row],[Duracion ideal (dia)]])</f>
        <v>46267</v>
      </c>
      <c r="J507" s="16"/>
      <c r="K507" s="19">
        <f>IF(Tabla15[[#This Row],[Duracion Real (dia)]]="",K506,L506)</f>
        <v>46285</v>
      </c>
      <c r="L507" s="19">
        <f>IF(Tabla15[[#This Row],[Duracion Real (dia)]]="",L506,Tabla15[[#This Row],[Inicio Real]]+Tabla15[[#This Row],[Duracion Real (dia)]])</f>
        <v>46289</v>
      </c>
      <c r="M507" s="16"/>
      <c r="N507" s="19" t="s">
        <v>35</v>
      </c>
      <c r="O507" s="13" t="s">
        <v>35</v>
      </c>
      <c r="P507" s="13" t="s">
        <v>35</v>
      </c>
      <c r="Q507" s="13" t="s">
        <v>35</v>
      </c>
      <c r="R507" s="13" t="s">
        <v>35</v>
      </c>
      <c r="S507" s="13" t="s">
        <v>35</v>
      </c>
      <c r="T507" s="13" t="s">
        <v>35</v>
      </c>
    </row>
    <row r="508" spans="1:20" hidden="1">
      <c r="A508" s="9" t="str">
        <f>CONCATENATE($A$504,".",B508)</f>
        <v>4.1.1.4</v>
      </c>
      <c r="B508" s="9">
        <f>IF(B507=" ",1,B507+1)</f>
        <v>4</v>
      </c>
      <c r="C508" s="10" t="s">
        <v>635</v>
      </c>
      <c r="D508" s="11" t="s">
        <v>627</v>
      </c>
      <c r="E508" s="11" t="s">
        <v>29</v>
      </c>
      <c r="F508" s="15" t="str">
        <f>IF(Tabla15[[#This Row],[Columna1]]="","actividad","subactividad")</f>
        <v>subactividad</v>
      </c>
      <c r="G508" s="12"/>
      <c r="H508" s="19">
        <f t="shared" si="52"/>
        <v>46267</v>
      </c>
      <c r="I508" s="19">
        <f>IF(Tabla15[[#This Row],[Duracion ideal (dia)]]="",I507,Tabla15[[#This Row],[Inicio ideal]]+Tabla15[[#This Row],[Duracion ideal (dia)]])</f>
        <v>46267</v>
      </c>
      <c r="J508" s="12"/>
      <c r="K508" s="19">
        <f>IF(Tabla15[[#This Row],[Duracion Real (dia)]]="",K507,L507)</f>
        <v>46285</v>
      </c>
      <c r="L508" s="19">
        <f>IF(Tabla15[[#This Row],[Duracion Real (dia)]]="",L507,Tabla15[[#This Row],[Inicio Real]]+Tabla15[[#This Row],[Duracion Real (dia)]])</f>
        <v>46289</v>
      </c>
      <c r="M508" s="12"/>
      <c r="N508" s="19" t="s">
        <v>35</v>
      </c>
      <c r="O508" s="13" t="s">
        <v>35</v>
      </c>
      <c r="P508" s="13" t="s">
        <v>35</v>
      </c>
      <c r="Q508" s="13" t="s">
        <v>35</v>
      </c>
      <c r="R508" s="13" t="s">
        <v>35</v>
      </c>
      <c r="S508" s="13" t="s">
        <v>35</v>
      </c>
      <c r="T508" s="13" t="s">
        <v>35</v>
      </c>
    </row>
    <row r="509" spans="1:20" hidden="1">
      <c r="A509" s="9" t="str">
        <f>CONCATENATE($A$504,".",B509)</f>
        <v>4.1.1.5</v>
      </c>
      <c r="B509" s="9">
        <f>IF(B508=" ",1,B508+1)</f>
        <v>5</v>
      </c>
      <c r="C509" s="20" t="s">
        <v>636</v>
      </c>
      <c r="D509" s="15" t="s">
        <v>627</v>
      </c>
      <c r="E509" s="15" t="s">
        <v>29</v>
      </c>
      <c r="F509" s="15" t="str">
        <f>IF(Tabla15[[#This Row],[Columna1]]="","actividad","subactividad")</f>
        <v>subactividad</v>
      </c>
      <c r="G509" s="16"/>
      <c r="H509" s="19">
        <f t="shared" si="52"/>
        <v>46267</v>
      </c>
      <c r="I509" s="19">
        <f>IF(Tabla15[[#This Row],[Duracion ideal (dia)]]="",I508,Tabla15[[#This Row],[Inicio ideal]]+Tabla15[[#This Row],[Duracion ideal (dia)]])</f>
        <v>46267</v>
      </c>
      <c r="J509" s="16"/>
      <c r="K509" s="19">
        <f>IF(Tabla15[[#This Row],[Duracion Real (dia)]]="",K508,L508)</f>
        <v>46285</v>
      </c>
      <c r="L509" s="19">
        <f>IF(Tabla15[[#This Row],[Duracion Real (dia)]]="",L508,Tabla15[[#This Row],[Inicio Real]]+Tabla15[[#This Row],[Duracion Real (dia)]])</f>
        <v>46289</v>
      </c>
      <c r="M509" s="16"/>
      <c r="N509" s="19" t="s">
        <v>35</v>
      </c>
      <c r="O509" s="13" t="s">
        <v>35</v>
      </c>
      <c r="P509" s="13" t="s">
        <v>35</v>
      </c>
      <c r="Q509" s="13" t="s">
        <v>35</v>
      </c>
      <c r="R509" s="13" t="s">
        <v>35</v>
      </c>
      <c r="S509" s="13" t="s">
        <v>35</v>
      </c>
      <c r="T509" s="13" t="s">
        <v>35</v>
      </c>
    </row>
    <row r="510" spans="1:20">
      <c r="A510" s="9" t="s">
        <v>637</v>
      </c>
      <c r="B510" s="9"/>
      <c r="C510" s="22" t="s">
        <v>638</v>
      </c>
      <c r="D510" s="11" t="s">
        <v>627</v>
      </c>
      <c r="E510" s="11" t="s">
        <v>29</v>
      </c>
      <c r="F510" s="15" t="str">
        <f>IF(Tabla15[[#This Row],[Columna1]]="","actividad","subactividad")</f>
        <v>actividad</v>
      </c>
      <c r="G510" s="12" t="s">
        <v>32</v>
      </c>
      <c r="H510" s="19">
        <f t="shared" si="52"/>
        <v>46267</v>
      </c>
      <c r="I510" s="19">
        <f>IF(Tabla15[[#This Row],[Duracion ideal (dia)]]="",I509,Tabla15[[#This Row],[Inicio ideal]]+Tabla15[[#This Row],[Duracion ideal (dia)]])</f>
        <v>46272</v>
      </c>
      <c r="J510" s="12">
        <v>5</v>
      </c>
      <c r="K510" s="19">
        <f>IF(Tabla15[[#This Row],[Duracion Real (dia)]]="",K509,L509)</f>
        <v>46289</v>
      </c>
      <c r="L510" s="19">
        <f>IF(Tabla15[[#This Row],[Duracion Real (dia)]]="",L509,Tabla15[[#This Row],[Inicio Real]]+Tabla15[[#This Row],[Duracion Real (dia)]])</f>
        <v>46294</v>
      </c>
      <c r="M510" s="12">
        <v>5</v>
      </c>
      <c r="N510" s="19" t="s">
        <v>33</v>
      </c>
      <c r="O510" s="13">
        <v>50192.42</v>
      </c>
      <c r="P510" s="13">
        <v>6923.0999999999995</v>
      </c>
      <c r="Q510" s="13">
        <v>57115.519999999997</v>
      </c>
      <c r="R510" s="13">
        <v>56423.17</v>
      </c>
      <c r="S510" s="13">
        <v>65250.146000000001</v>
      </c>
      <c r="T510" s="13">
        <v>65250.146000000001</v>
      </c>
    </row>
    <row r="511" spans="1:20" hidden="1">
      <c r="A511" s="9" t="str">
        <f>CONCATENATE($A$510,".",B511)</f>
        <v>4.1.2.1</v>
      </c>
      <c r="B511" s="9">
        <f>IF(B510=" ",1,B510+1)</f>
        <v>1</v>
      </c>
      <c r="C511" s="20" t="s">
        <v>639</v>
      </c>
      <c r="D511" s="15" t="s">
        <v>627</v>
      </c>
      <c r="E511" s="15" t="s">
        <v>29</v>
      </c>
      <c r="F511" s="15" t="str">
        <f>IF(Tabla15[[#This Row],[Columna1]]="","actividad","subactividad")</f>
        <v>subactividad</v>
      </c>
      <c r="G511" s="16"/>
      <c r="H511" s="19">
        <f t="shared" si="52"/>
        <v>46272</v>
      </c>
      <c r="I511" s="19">
        <f>IF(Tabla15[[#This Row],[Duracion ideal (dia)]]="",I510,Tabla15[[#This Row],[Inicio ideal]]+Tabla15[[#This Row],[Duracion ideal (dia)]])</f>
        <v>46272</v>
      </c>
      <c r="J511" s="16"/>
      <c r="K511" s="19">
        <f>IF(Tabla15[[#This Row],[Duracion Real (dia)]]="",K510,L510)</f>
        <v>46289</v>
      </c>
      <c r="L511" s="19">
        <f>IF(Tabla15[[#This Row],[Duracion Real (dia)]]="",L510,Tabla15[[#This Row],[Inicio Real]]+Tabla15[[#This Row],[Duracion Real (dia)]])</f>
        <v>46294</v>
      </c>
      <c r="M511" s="16"/>
      <c r="N511" s="19" t="s">
        <v>35</v>
      </c>
      <c r="O511" s="13" t="s">
        <v>35</v>
      </c>
      <c r="P511" s="13" t="s">
        <v>35</v>
      </c>
      <c r="Q511" s="13" t="s">
        <v>35</v>
      </c>
      <c r="R511" s="13" t="s">
        <v>35</v>
      </c>
      <c r="S511" s="13" t="s">
        <v>35</v>
      </c>
      <c r="T511" s="13" t="s">
        <v>35</v>
      </c>
    </row>
    <row r="512" spans="1:20" hidden="1">
      <c r="A512" s="9" t="str">
        <f>CONCATENATE($A$510,".",B512)</f>
        <v>4.1.2.2</v>
      </c>
      <c r="B512" s="9">
        <f>IF(B511=" ",1,B511+1)</f>
        <v>2</v>
      </c>
      <c r="C512" s="10" t="s">
        <v>640</v>
      </c>
      <c r="D512" s="11" t="s">
        <v>627</v>
      </c>
      <c r="E512" s="11" t="s">
        <v>29</v>
      </c>
      <c r="F512" s="15" t="str">
        <f>IF(Tabla15[[#This Row],[Columna1]]="","actividad","subactividad")</f>
        <v>subactividad</v>
      </c>
      <c r="G512" s="12"/>
      <c r="H512" s="19">
        <f t="shared" si="52"/>
        <v>46272</v>
      </c>
      <c r="I512" s="19">
        <f>IF(Tabla15[[#This Row],[Duracion ideal (dia)]]="",I511,Tabla15[[#This Row],[Inicio ideal]]+Tabla15[[#This Row],[Duracion ideal (dia)]])</f>
        <v>46272</v>
      </c>
      <c r="J512" s="12"/>
      <c r="K512" s="19">
        <f>IF(Tabla15[[#This Row],[Duracion Real (dia)]]="",K511,L511)</f>
        <v>46289</v>
      </c>
      <c r="L512" s="19">
        <f>IF(Tabla15[[#This Row],[Duracion Real (dia)]]="",L511,Tabla15[[#This Row],[Inicio Real]]+Tabla15[[#This Row],[Duracion Real (dia)]])</f>
        <v>46294</v>
      </c>
      <c r="M512" s="12"/>
      <c r="N512" s="19" t="s">
        <v>35</v>
      </c>
      <c r="O512" s="13" t="s">
        <v>35</v>
      </c>
      <c r="P512" s="13" t="s">
        <v>35</v>
      </c>
      <c r="Q512" s="13" t="s">
        <v>35</v>
      </c>
      <c r="R512" s="13" t="s">
        <v>35</v>
      </c>
      <c r="S512" s="13" t="s">
        <v>35</v>
      </c>
      <c r="T512" s="13" t="s">
        <v>35</v>
      </c>
    </row>
    <row r="513" spans="1:20" hidden="1">
      <c r="A513" s="9" t="str">
        <f>CONCATENATE($A$510,".",B513)</f>
        <v>4.1.2.3</v>
      </c>
      <c r="B513" s="9">
        <f>IF(B512=" ",1,B512+1)</f>
        <v>3</v>
      </c>
      <c r="C513" s="20" t="s">
        <v>641</v>
      </c>
      <c r="D513" s="15" t="s">
        <v>627</v>
      </c>
      <c r="E513" s="15" t="s">
        <v>29</v>
      </c>
      <c r="F513" s="15" t="str">
        <f>IF(Tabla15[[#This Row],[Columna1]]="","actividad","subactividad")</f>
        <v>subactividad</v>
      </c>
      <c r="G513" s="16"/>
      <c r="H513" s="19">
        <f t="shared" si="52"/>
        <v>46272</v>
      </c>
      <c r="I513" s="19">
        <f>IF(Tabla15[[#This Row],[Duracion ideal (dia)]]="",I512,Tabla15[[#This Row],[Inicio ideal]]+Tabla15[[#This Row],[Duracion ideal (dia)]])</f>
        <v>46272</v>
      </c>
      <c r="J513" s="16"/>
      <c r="K513" s="19">
        <f>IF(Tabla15[[#This Row],[Duracion Real (dia)]]="",K512,L512)</f>
        <v>46289</v>
      </c>
      <c r="L513" s="19">
        <f>IF(Tabla15[[#This Row],[Duracion Real (dia)]]="",L512,Tabla15[[#This Row],[Inicio Real]]+Tabla15[[#This Row],[Duracion Real (dia)]])</f>
        <v>46294</v>
      </c>
      <c r="M513" s="16"/>
      <c r="N513" s="19" t="s">
        <v>35</v>
      </c>
      <c r="O513" s="13" t="s">
        <v>35</v>
      </c>
      <c r="P513" s="13" t="s">
        <v>35</v>
      </c>
      <c r="Q513" s="13" t="s">
        <v>35</v>
      </c>
      <c r="R513" s="13" t="s">
        <v>35</v>
      </c>
      <c r="S513" s="13" t="s">
        <v>35</v>
      </c>
      <c r="T513" s="13" t="s">
        <v>35</v>
      </c>
    </row>
    <row r="514" spans="1:20" hidden="1">
      <c r="A514" s="9" t="str">
        <f>CONCATENATE($A$510,".",B514)</f>
        <v>4.1.2.4</v>
      </c>
      <c r="B514" s="9">
        <f>IF(B513=" ",1,B513+1)</f>
        <v>4</v>
      </c>
      <c r="C514" s="10" t="s">
        <v>642</v>
      </c>
      <c r="D514" s="11" t="s">
        <v>627</v>
      </c>
      <c r="E514" s="11" t="s">
        <v>29</v>
      </c>
      <c r="F514" s="15" t="str">
        <f>IF(Tabla15[[#This Row],[Columna1]]="","actividad","subactividad")</f>
        <v>subactividad</v>
      </c>
      <c r="G514" s="12"/>
      <c r="H514" s="19">
        <f t="shared" si="52"/>
        <v>46272</v>
      </c>
      <c r="I514" s="19">
        <f>IF(Tabla15[[#This Row],[Duracion ideal (dia)]]="",I513,Tabla15[[#This Row],[Inicio ideal]]+Tabla15[[#This Row],[Duracion ideal (dia)]])</f>
        <v>46272</v>
      </c>
      <c r="J514" s="12"/>
      <c r="K514" s="19">
        <f>IF(Tabla15[[#This Row],[Duracion Real (dia)]]="",K513,L513)</f>
        <v>46289</v>
      </c>
      <c r="L514" s="19">
        <f>IF(Tabla15[[#This Row],[Duracion Real (dia)]]="",L513,Tabla15[[#This Row],[Inicio Real]]+Tabla15[[#This Row],[Duracion Real (dia)]])</f>
        <v>46294</v>
      </c>
      <c r="M514" s="12"/>
      <c r="N514" s="19" t="s">
        <v>35</v>
      </c>
      <c r="O514" s="13" t="s">
        <v>35</v>
      </c>
      <c r="P514" s="13" t="s">
        <v>35</v>
      </c>
      <c r="Q514" s="13" t="s">
        <v>35</v>
      </c>
      <c r="R514" s="13" t="s">
        <v>35</v>
      </c>
      <c r="S514" s="13" t="s">
        <v>35</v>
      </c>
      <c r="T514" s="13" t="s">
        <v>35</v>
      </c>
    </row>
    <row r="515" spans="1:20" hidden="1">
      <c r="A515" s="9" t="str">
        <f>CONCATENATE($A$510,".",B515)</f>
        <v>4.1.2.5</v>
      </c>
      <c r="B515" s="9">
        <f>IF(B514=" ",1,B514+1)</f>
        <v>5</v>
      </c>
      <c r="C515" s="20" t="s">
        <v>643</v>
      </c>
      <c r="D515" s="15" t="s">
        <v>627</v>
      </c>
      <c r="E515" s="15" t="s">
        <v>29</v>
      </c>
      <c r="F515" s="15" t="str">
        <f>IF(Tabla15[[#This Row],[Columna1]]="","actividad","subactividad")</f>
        <v>subactividad</v>
      </c>
      <c r="G515" s="16"/>
      <c r="H515" s="19">
        <f t="shared" si="52"/>
        <v>46272</v>
      </c>
      <c r="I515" s="19">
        <f>IF(Tabla15[[#This Row],[Duracion ideal (dia)]]="",I514,Tabla15[[#This Row],[Inicio ideal]]+Tabla15[[#This Row],[Duracion ideal (dia)]])</f>
        <v>46272</v>
      </c>
      <c r="J515" s="16"/>
      <c r="K515" s="19">
        <f>IF(Tabla15[[#This Row],[Duracion Real (dia)]]="",K514,L514)</f>
        <v>46289</v>
      </c>
      <c r="L515" s="19">
        <f>IF(Tabla15[[#This Row],[Duracion Real (dia)]]="",L514,Tabla15[[#This Row],[Inicio Real]]+Tabla15[[#This Row],[Duracion Real (dia)]])</f>
        <v>46294</v>
      </c>
      <c r="M515" s="16"/>
      <c r="N515" s="19" t="s">
        <v>35</v>
      </c>
      <c r="O515" s="13" t="s">
        <v>35</v>
      </c>
      <c r="P515" s="13" t="s">
        <v>35</v>
      </c>
      <c r="Q515" s="13" t="s">
        <v>35</v>
      </c>
      <c r="R515" s="13" t="s">
        <v>35</v>
      </c>
      <c r="S515" s="13" t="s">
        <v>35</v>
      </c>
      <c r="T515" s="13" t="s">
        <v>35</v>
      </c>
    </row>
    <row r="516" spans="1:20">
      <c r="A516" s="9" t="s">
        <v>644</v>
      </c>
      <c r="B516" s="9"/>
      <c r="C516" s="22" t="s">
        <v>645</v>
      </c>
      <c r="D516" s="11" t="s">
        <v>627</v>
      </c>
      <c r="E516" s="11" t="s">
        <v>29</v>
      </c>
      <c r="F516" s="15" t="str">
        <f>IF(Tabla15[[#This Row],[Columna1]]="","actividad","subactividad")</f>
        <v>actividad</v>
      </c>
      <c r="G516" s="12" t="s">
        <v>32</v>
      </c>
      <c r="H516" s="19">
        <f t="shared" si="52"/>
        <v>46272</v>
      </c>
      <c r="I516" s="19">
        <f>IF(Tabla15[[#This Row],[Duracion ideal (dia)]]="",I515,Tabla15[[#This Row],[Inicio ideal]]+Tabla15[[#This Row],[Duracion ideal (dia)]])</f>
        <v>46275</v>
      </c>
      <c r="J516" s="12">
        <v>3</v>
      </c>
      <c r="K516" s="19">
        <f>IF(Tabla15[[#This Row],[Duracion Real (dia)]]="",K515,L515)</f>
        <v>46294</v>
      </c>
      <c r="L516" s="19">
        <f>IF(Tabla15[[#This Row],[Duracion Real (dia)]]="",L515,Tabla15[[#This Row],[Inicio Real]]+Tabla15[[#This Row],[Duracion Real (dia)]])</f>
        <v>46297</v>
      </c>
      <c r="M516" s="12">
        <v>3</v>
      </c>
      <c r="N516" s="19" t="s">
        <v>88</v>
      </c>
      <c r="O516" s="13">
        <v>50192.42</v>
      </c>
      <c r="P516" s="13">
        <v>3461.5499999999997</v>
      </c>
      <c r="Q516" s="13">
        <v>53653.97</v>
      </c>
      <c r="R516" s="13">
        <v>53653.97</v>
      </c>
      <c r="S516" s="13">
        <v>65250.146000000001</v>
      </c>
      <c r="T516" s="13">
        <v>65250.146000000001</v>
      </c>
    </row>
    <row r="517" spans="1:20" hidden="1">
      <c r="A517" s="9" t="str">
        <f>CONCATENATE($A$516,".",B517)</f>
        <v>4.1.3.1</v>
      </c>
      <c r="B517" s="9">
        <f>IF(B516=" ",1,B516+1)</f>
        <v>1</v>
      </c>
      <c r="C517" s="20" t="s">
        <v>646</v>
      </c>
      <c r="D517" s="15" t="s">
        <v>627</v>
      </c>
      <c r="E517" s="15" t="s">
        <v>29</v>
      </c>
      <c r="F517" s="15" t="str">
        <f>IF(Tabla15[[#This Row],[Columna1]]="","actividad","subactividad")</f>
        <v>subactividad</v>
      </c>
      <c r="G517" s="16"/>
      <c r="H517" s="19">
        <f t="shared" si="52"/>
        <v>46275</v>
      </c>
      <c r="I517" s="19">
        <f>IF(Tabla15[[#This Row],[Duracion ideal (dia)]]="",I516,Tabla15[[#This Row],[Inicio ideal]]+Tabla15[[#This Row],[Duracion ideal (dia)]])</f>
        <v>46275</v>
      </c>
      <c r="J517" s="16"/>
      <c r="K517" s="19">
        <f>IF(Tabla15[[#This Row],[Duracion Real (dia)]]="",K516,L516)</f>
        <v>46294</v>
      </c>
      <c r="L517" s="19">
        <f>IF(Tabla15[[#This Row],[Duracion Real (dia)]]="",L516,Tabla15[[#This Row],[Inicio Real]]+Tabla15[[#This Row],[Duracion Real (dia)]])</f>
        <v>46297</v>
      </c>
      <c r="M517" s="16"/>
      <c r="N517" s="19" t="s">
        <v>35</v>
      </c>
      <c r="O517" s="13" t="s">
        <v>35</v>
      </c>
      <c r="P517" s="13" t="s">
        <v>35</v>
      </c>
      <c r="Q517" s="13" t="s">
        <v>35</v>
      </c>
      <c r="R517" s="13" t="s">
        <v>35</v>
      </c>
      <c r="S517" s="13" t="s">
        <v>35</v>
      </c>
      <c r="T517" s="13" t="s">
        <v>35</v>
      </c>
    </row>
    <row r="518" spans="1:20" hidden="1">
      <c r="A518" s="9" t="str">
        <f>CONCATENATE($A$516,".",B518)</f>
        <v>4.1.3.2</v>
      </c>
      <c r="B518" s="9">
        <f>IF(B517=" ",1,B517+1)</f>
        <v>2</v>
      </c>
      <c r="C518" s="10" t="s">
        <v>647</v>
      </c>
      <c r="D518" s="11" t="s">
        <v>627</v>
      </c>
      <c r="E518" s="11" t="s">
        <v>29</v>
      </c>
      <c r="F518" s="15" t="str">
        <f>IF(Tabla15[[#This Row],[Columna1]]="","actividad","subactividad")</f>
        <v>subactividad</v>
      </c>
      <c r="G518" s="12"/>
      <c r="H518" s="19">
        <f t="shared" si="52"/>
        <v>46275</v>
      </c>
      <c r="I518" s="19">
        <f>IF(Tabla15[[#This Row],[Duracion ideal (dia)]]="",I517,Tabla15[[#This Row],[Inicio ideal]]+Tabla15[[#This Row],[Duracion ideal (dia)]])</f>
        <v>46275</v>
      </c>
      <c r="J518" s="12"/>
      <c r="K518" s="19">
        <f>IF(Tabla15[[#This Row],[Duracion Real (dia)]]="",K517,L517)</f>
        <v>46294</v>
      </c>
      <c r="L518" s="19">
        <f>IF(Tabla15[[#This Row],[Duracion Real (dia)]]="",L517,Tabla15[[#This Row],[Inicio Real]]+Tabla15[[#This Row],[Duracion Real (dia)]])</f>
        <v>46297</v>
      </c>
      <c r="M518" s="12"/>
      <c r="N518" s="19" t="s">
        <v>35</v>
      </c>
      <c r="O518" s="13" t="s">
        <v>35</v>
      </c>
      <c r="P518" s="13" t="s">
        <v>35</v>
      </c>
      <c r="Q518" s="13" t="s">
        <v>35</v>
      </c>
      <c r="R518" s="13" t="s">
        <v>35</v>
      </c>
      <c r="S518" s="13" t="s">
        <v>35</v>
      </c>
      <c r="T518" s="13" t="s">
        <v>35</v>
      </c>
    </row>
    <row r="519" spans="1:20" hidden="1">
      <c r="A519" s="9" t="str">
        <f>CONCATENATE($A$516,".",B519)</f>
        <v>4.1.3.3</v>
      </c>
      <c r="B519" s="9">
        <f>IF(B518=" ",1,B518+1)</f>
        <v>3</v>
      </c>
      <c r="C519" s="20" t="s">
        <v>648</v>
      </c>
      <c r="D519" s="15" t="s">
        <v>627</v>
      </c>
      <c r="E519" s="15" t="s">
        <v>29</v>
      </c>
      <c r="F519" s="15" t="str">
        <f>IF(Tabla15[[#This Row],[Columna1]]="","actividad","subactividad")</f>
        <v>subactividad</v>
      </c>
      <c r="G519" s="16"/>
      <c r="H519" s="19">
        <f t="shared" si="52"/>
        <v>46275</v>
      </c>
      <c r="I519" s="19">
        <f>IF(Tabla15[[#This Row],[Duracion ideal (dia)]]="",I518,Tabla15[[#This Row],[Inicio ideal]]+Tabla15[[#This Row],[Duracion ideal (dia)]])</f>
        <v>46275</v>
      </c>
      <c r="J519" s="16"/>
      <c r="K519" s="19">
        <f>IF(Tabla15[[#This Row],[Duracion Real (dia)]]="",K518,L518)</f>
        <v>46294</v>
      </c>
      <c r="L519" s="19">
        <f>IF(Tabla15[[#This Row],[Duracion Real (dia)]]="",L518,Tabla15[[#This Row],[Inicio Real]]+Tabla15[[#This Row],[Duracion Real (dia)]])</f>
        <v>46297</v>
      </c>
      <c r="M519" s="16"/>
      <c r="N519" s="19" t="s">
        <v>35</v>
      </c>
      <c r="O519" s="13" t="s">
        <v>35</v>
      </c>
      <c r="P519" s="13" t="s">
        <v>35</v>
      </c>
      <c r="Q519" s="13" t="s">
        <v>35</v>
      </c>
      <c r="R519" s="13" t="s">
        <v>35</v>
      </c>
      <c r="S519" s="13" t="s">
        <v>35</v>
      </c>
      <c r="T519" s="13" t="s">
        <v>35</v>
      </c>
    </row>
    <row r="520" spans="1:20" hidden="1">
      <c r="A520" s="9" t="str">
        <f>CONCATENATE($A$516,".",B520)</f>
        <v>4.1.3.4</v>
      </c>
      <c r="B520" s="9">
        <f>IF(B519=" ",1,B519+1)</f>
        <v>4</v>
      </c>
      <c r="C520" s="10" t="s">
        <v>649</v>
      </c>
      <c r="D520" s="11" t="s">
        <v>627</v>
      </c>
      <c r="E520" s="11" t="s">
        <v>29</v>
      </c>
      <c r="F520" s="15" t="str">
        <f>IF(Tabla15[[#This Row],[Columna1]]="","actividad","subactividad")</f>
        <v>subactividad</v>
      </c>
      <c r="G520" s="12"/>
      <c r="H520" s="19">
        <f t="shared" si="52"/>
        <v>46275</v>
      </c>
      <c r="I520" s="19">
        <f>IF(Tabla15[[#This Row],[Duracion ideal (dia)]]="",I519,Tabla15[[#This Row],[Inicio ideal]]+Tabla15[[#This Row],[Duracion ideal (dia)]])</f>
        <v>46275</v>
      </c>
      <c r="J520" s="12"/>
      <c r="K520" s="19">
        <f>IF(Tabla15[[#This Row],[Duracion Real (dia)]]="",K519,L519)</f>
        <v>46294</v>
      </c>
      <c r="L520" s="19">
        <f>IF(Tabla15[[#This Row],[Duracion Real (dia)]]="",L519,Tabla15[[#This Row],[Inicio Real]]+Tabla15[[#This Row],[Duracion Real (dia)]])</f>
        <v>46297</v>
      </c>
      <c r="M520" s="12"/>
      <c r="N520" s="19" t="s">
        <v>35</v>
      </c>
      <c r="O520" s="13" t="s">
        <v>35</v>
      </c>
      <c r="P520" s="13" t="s">
        <v>35</v>
      </c>
      <c r="Q520" s="13" t="s">
        <v>35</v>
      </c>
      <c r="R520" s="13" t="s">
        <v>35</v>
      </c>
      <c r="S520" s="13" t="s">
        <v>35</v>
      </c>
      <c r="T520" s="13" t="s">
        <v>35</v>
      </c>
    </row>
    <row r="521" spans="1:20" hidden="1">
      <c r="A521" s="9" t="str">
        <f>CONCATENATE($A$516,".",B521)</f>
        <v>4.1.3.5</v>
      </c>
      <c r="B521" s="9">
        <f>IF(B520=" ",1,B520+1)</f>
        <v>5</v>
      </c>
      <c r="C521" s="20" t="s">
        <v>650</v>
      </c>
      <c r="D521" s="15" t="s">
        <v>627</v>
      </c>
      <c r="E521" s="15" t="s">
        <v>29</v>
      </c>
      <c r="F521" s="15" t="str">
        <f>IF(Tabla15[[#This Row],[Columna1]]="","actividad","subactividad")</f>
        <v>subactividad</v>
      </c>
      <c r="G521" s="16"/>
      <c r="H521" s="19">
        <f t="shared" si="52"/>
        <v>46275</v>
      </c>
      <c r="I521" s="19">
        <f>IF(Tabla15[[#This Row],[Duracion ideal (dia)]]="",I520,Tabla15[[#This Row],[Inicio ideal]]+Tabla15[[#This Row],[Duracion ideal (dia)]])</f>
        <v>46275</v>
      </c>
      <c r="J521" s="16"/>
      <c r="K521" s="19">
        <f>IF(Tabla15[[#This Row],[Duracion Real (dia)]]="",K520,L520)</f>
        <v>46294</v>
      </c>
      <c r="L521" s="19">
        <f>IF(Tabla15[[#This Row],[Duracion Real (dia)]]="",L520,Tabla15[[#This Row],[Inicio Real]]+Tabla15[[#This Row],[Duracion Real (dia)]])</f>
        <v>46297</v>
      </c>
      <c r="M521" s="16"/>
      <c r="N521" s="19" t="s">
        <v>35</v>
      </c>
      <c r="O521" s="13" t="s">
        <v>35</v>
      </c>
      <c r="P521" s="13" t="s">
        <v>35</v>
      </c>
      <c r="Q521" s="13" t="s">
        <v>35</v>
      </c>
      <c r="R521" s="13" t="s">
        <v>35</v>
      </c>
      <c r="S521" s="13" t="s">
        <v>35</v>
      </c>
      <c r="T521" s="13" t="s">
        <v>35</v>
      </c>
    </row>
    <row r="522" spans="1:20">
      <c r="A522" s="9" t="s">
        <v>651</v>
      </c>
      <c r="B522" s="9"/>
      <c r="C522" s="22" t="s">
        <v>652</v>
      </c>
      <c r="D522" s="11" t="s">
        <v>627</v>
      </c>
      <c r="E522" s="11" t="s">
        <v>29</v>
      </c>
      <c r="F522" s="15" t="str">
        <f>IF(Tabla15[[#This Row],[Columna1]]="","actividad","subactividad")</f>
        <v>actividad</v>
      </c>
      <c r="G522" s="12" t="s">
        <v>209</v>
      </c>
      <c r="H522" s="19">
        <f t="shared" si="52"/>
        <v>46275</v>
      </c>
      <c r="I522" s="19">
        <f>IF(Tabla15[[#This Row],[Duracion ideal (dia)]]="",I521,Tabla15[[#This Row],[Inicio ideal]]+Tabla15[[#This Row],[Duracion ideal (dia)]])</f>
        <v>46280</v>
      </c>
      <c r="J522" s="12">
        <v>5</v>
      </c>
      <c r="K522" s="19">
        <f>IF(Tabla15[[#This Row],[Duracion Real (dia)]]="",K521,L521)</f>
        <v>46297</v>
      </c>
      <c r="L522" s="19">
        <f>IF(Tabla15[[#This Row],[Duracion Real (dia)]]="",L521,Tabla15[[#This Row],[Inicio Real]]+Tabla15[[#This Row],[Duracion Real (dia)]])</f>
        <v>46302</v>
      </c>
      <c r="M522" s="12">
        <v>5</v>
      </c>
      <c r="N522" s="19" t="s">
        <v>88</v>
      </c>
      <c r="O522" s="13">
        <v>50192.42</v>
      </c>
      <c r="P522" s="13">
        <v>6230.75</v>
      </c>
      <c r="Q522" s="13">
        <v>56423.17</v>
      </c>
      <c r="R522" s="13">
        <v>55961.67</v>
      </c>
      <c r="S522" s="13">
        <v>65250.146000000001</v>
      </c>
      <c r="T522" s="13">
        <v>65250.146000000001</v>
      </c>
    </row>
    <row r="523" spans="1:20">
      <c r="A523" s="9" t="str">
        <f>CONCATENATE($A$522,".",B523)</f>
        <v>4.1.4.</v>
      </c>
      <c r="B523" s="9"/>
      <c r="C523" s="20" t="s">
        <v>653</v>
      </c>
      <c r="D523" s="15" t="s">
        <v>627</v>
      </c>
      <c r="E523" s="15" t="s">
        <v>29</v>
      </c>
      <c r="F523" s="15" t="str">
        <f>IF(Tabla15[[#This Row],[Columna1]]="","actividad","subactividad")</f>
        <v>actividad</v>
      </c>
      <c r="G523" s="16"/>
      <c r="H523" s="19">
        <f t="shared" si="52"/>
        <v>46280</v>
      </c>
      <c r="I523" s="19">
        <f>IF(Tabla15[[#This Row],[Duracion ideal (dia)]]="",I522,Tabla15[[#This Row],[Inicio ideal]]+Tabla15[[#This Row],[Duracion ideal (dia)]])</f>
        <v>46280</v>
      </c>
      <c r="J523" s="16"/>
      <c r="K523" s="19">
        <f>IF(Tabla15[[#This Row],[Duracion Real (dia)]]="",K522,L522)</f>
        <v>46297</v>
      </c>
      <c r="L523" s="19">
        <f>IF(Tabla15[[#This Row],[Duracion Real (dia)]]="",L522,Tabla15[[#This Row],[Inicio Real]]+Tabla15[[#This Row],[Duracion Real (dia)]])</f>
        <v>46302</v>
      </c>
      <c r="M523" s="16"/>
      <c r="N523" s="19" t="s">
        <v>35</v>
      </c>
      <c r="O523" s="13" t="s">
        <v>35</v>
      </c>
      <c r="P523" s="13" t="s">
        <v>35</v>
      </c>
      <c r="Q523" s="13" t="s">
        <v>35</v>
      </c>
      <c r="R523" s="13" t="s">
        <v>35</v>
      </c>
      <c r="S523" s="13" t="s">
        <v>35</v>
      </c>
      <c r="T523" s="13" t="s">
        <v>35</v>
      </c>
    </row>
    <row r="524" spans="1:20">
      <c r="A524" s="9" t="str">
        <f>CONCATENATE($A$522,".",B524)</f>
        <v>4.1.4.</v>
      </c>
      <c r="B524" s="9"/>
      <c r="C524" s="10" t="s">
        <v>654</v>
      </c>
      <c r="D524" s="11" t="s">
        <v>627</v>
      </c>
      <c r="E524" s="11" t="s">
        <v>29</v>
      </c>
      <c r="F524" s="15" t="str">
        <f>IF(Tabla15[[#This Row],[Columna1]]="","actividad","subactividad")</f>
        <v>actividad</v>
      </c>
      <c r="G524" s="12"/>
      <c r="H524" s="19">
        <f t="shared" si="52"/>
        <v>46280</v>
      </c>
      <c r="I524" s="19">
        <f>IF(Tabla15[[#This Row],[Duracion ideal (dia)]]="",I523,Tabla15[[#This Row],[Inicio ideal]]+Tabla15[[#This Row],[Duracion ideal (dia)]])</f>
        <v>46280</v>
      </c>
      <c r="J524" s="12"/>
      <c r="K524" s="19">
        <f>IF(Tabla15[[#This Row],[Duracion Real (dia)]]="",K523,L523)</f>
        <v>46297</v>
      </c>
      <c r="L524" s="19">
        <f>IF(Tabla15[[#This Row],[Duracion Real (dia)]]="",L523,Tabla15[[#This Row],[Inicio Real]]+Tabla15[[#This Row],[Duracion Real (dia)]])</f>
        <v>46302</v>
      </c>
      <c r="M524" s="12"/>
      <c r="N524" s="19" t="s">
        <v>35</v>
      </c>
      <c r="O524" s="13" t="s">
        <v>35</v>
      </c>
      <c r="P524" s="13" t="s">
        <v>35</v>
      </c>
      <c r="Q524" s="13" t="s">
        <v>35</v>
      </c>
      <c r="R524" s="13" t="s">
        <v>35</v>
      </c>
      <c r="S524" s="13" t="s">
        <v>35</v>
      </c>
      <c r="T524" s="13" t="s">
        <v>35</v>
      </c>
    </row>
    <row r="525" spans="1:20" hidden="1">
      <c r="A525" s="9" t="str">
        <f>CONCATENATE($A$522,".",B525)</f>
        <v>4.1.4.1</v>
      </c>
      <c r="B525" s="9">
        <f>IF(B524=" ",1,B524+1)</f>
        <v>1</v>
      </c>
      <c r="C525" s="20" t="s">
        <v>655</v>
      </c>
      <c r="D525" s="15" t="s">
        <v>627</v>
      </c>
      <c r="E525" s="15" t="s">
        <v>29</v>
      </c>
      <c r="F525" s="15" t="str">
        <f>IF(Tabla15[[#This Row],[Columna1]]="","actividad","subactividad")</f>
        <v>subactividad</v>
      </c>
      <c r="G525" s="16"/>
      <c r="H525" s="19">
        <f t="shared" si="52"/>
        <v>46280</v>
      </c>
      <c r="I525" s="19">
        <f>IF(Tabla15[[#This Row],[Duracion ideal (dia)]]="",I524,Tabla15[[#This Row],[Inicio ideal]]+Tabla15[[#This Row],[Duracion ideal (dia)]])</f>
        <v>46280</v>
      </c>
      <c r="J525" s="16"/>
      <c r="K525" s="19">
        <f>IF(Tabla15[[#This Row],[Duracion Real (dia)]]="",K524,L524)</f>
        <v>46297</v>
      </c>
      <c r="L525" s="19">
        <f>IF(Tabla15[[#This Row],[Duracion Real (dia)]]="",L524,Tabla15[[#This Row],[Inicio Real]]+Tabla15[[#This Row],[Duracion Real (dia)]])</f>
        <v>46302</v>
      </c>
      <c r="M525" s="16"/>
      <c r="N525" s="19" t="s">
        <v>35</v>
      </c>
      <c r="O525" s="13" t="s">
        <v>35</v>
      </c>
      <c r="P525" s="13" t="s">
        <v>35</v>
      </c>
      <c r="Q525" s="13" t="s">
        <v>35</v>
      </c>
      <c r="R525" s="13" t="s">
        <v>35</v>
      </c>
      <c r="S525" s="13" t="s">
        <v>35</v>
      </c>
      <c r="T525" s="13" t="s">
        <v>35</v>
      </c>
    </row>
    <row r="526" spans="1:20" hidden="1">
      <c r="A526" s="9" t="s">
        <v>656</v>
      </c>
      <c r="B526" s="9">
        <f>IF(B525=" ",1,B525+1)</f>
        <v>2</v>
      </c>
      <c r="C526" s="22" t="s">
        <v>657</v>
      </c>
      <c r="D526" s="11" t="s">
        <v>627</v>
      </c>
      <c r="E526" s="11" t="s">
        <v>29</v>
      </c>
      <c r="F526" s="15" t="str">
        <f>IF(Tabla15[[#This Row],[Columna1]]="","actividad","subactividad")</f>
        <v>subactividad</v>
      </c>
      <c r="G526" s="12"/>
      <c r="H526" s="19">
        <f t="shared" si="52"/>
        <v>46280</v>
      </c>
      <c r="I526" s="19">
        <f>IF(Tabla15[[#This Row],[Duracion ideal (dia)]]="",I525,Tabla15[[#This Row],[Inicio ideal]]+Tabla15[[#This Row],[Duracion ideal (dia)]])</f>
        <v>46280</v>
      </c>
      <c r="J526" s="12"/>
      <c r="K526" s="19">
        <f>IF(Tabla15[[#This Row],[Duracion Real (dia)]]="",K525,L525)</f>
        <v>46297</v>
      </c>
      <c r="L526" s="19">
        <f>IF(Tabla15[[#This Row],[Duracion Real (dia)]]="",L525,Tabla15[[#This Row],[Inicio Real]]+Tabla15[[#This Row],[Duracion Real (dia)]])</f>
        <v>46302</v>
      </c>
      <c r="M526" s="12"/>
      <c r="N526" s="19" t="s">
        <v>35</v>
      </c>
      <c r="O526" s="13" t="s">
        <v>35</v>
      </c>
      <c r="P526" s="13" t="s">
        <v>35</v>
      </c>
      <c r="Q526" s="13" t="s">
        <v>35</v>
      </c>
      <c r="R526" s="13" t="s">
        <v>35</v>
      </c>
      <c r="S526" s="13" t="s">
        <v>35</v>
      </c>
      <c r="T526" s="13" t="s">
        <v>35</v>
      </c>
    </row>
    <row r="527" spans="1:20" hidden="1">
      <c r="A527" s="9" t="str">
        <f>CONCATENATE($A$526,".",B527)</f>
        <v>4.1.5.3</v>
      </c>
      <c r="B527" s="9">
        <f>IF(B526=" ",1,B526+1)</f>
        <v>3</v>
      </c>
      <c r="C527" s="20" t="s">
        <v>658</v>
      </c>
      <c r="D527" s="15" t="s">
        <v>627</v>
      </c>
      <c r="E527" s="15" t="s">
        <v>29</v>
      </c>
      <c r="F527" s="15" t="str">
        <f>IF(Tabla15[[#This Row],[Columna1]]="","actividad","subactividad")</f>
        <v>subactividad</v>
      </c>
      <c r="G527" s="16"/>
      <c r="H527" s="19">
        <f t="shared" si="52"/>
        <v>46280</v>
      </c>
      <c r="I527" s="19">
        <f>IF(Tabla15[[#This Row],[Duracion ideal (dia)]]="",I526,Tabla15[[#This Row],[Inicio ideal]]+Tabla15[[#This Row],[Duracion ideal (dia)]])</f>
        <v>46280</v>
      </c>
      <c r="J527" s="16"/>
      <c r="K527" s="19">
        <f>IF(Tabla15[[#This Row],[Duracion Real (dia)]]="",K526,L526)</f>
        <v>46297</v>
      </c>
      <c r="L527" s="19">
        <f>IF(Tabla15[[#This Row],[Duracion Real (dia)]]="",L526,Tabla15[[#This Row],[Inicio Real]]+Tabla15[[#This Row],[Duracion Real (dia)]])</f>
        <v>46302</v>
      </c>
      <c r="M527" s="16"/>
      <c r="N527" s="19" t="s">
        <v>35</v>
      </c>
      <c r="O527" s="13" t="s">
        <v>35</v>
      </c>
      <c r="P527" s="13" t="s">
        <v>35</v>
      </c>
      <c r="Q527" s="13" t="s">
        <v>35</v>
      </c>
      <c r="R527" s="13" t="s">
        <v>35</v>
      </c>
      <c r="S527" s="13" t="s">
        <v>35</v>
      </c>
      <c r="T527" s="13" t="s">
        <v>35</v>
      </c>
    </row>
    <row r="528" spans="1:20" hidden="1">
      <c r="A528" s="9" t="str">
        <f>CONCATENATE($A$526,".",B528)</f>
        <v>4.1.5.4</v>
      </c>
      <c r="B528" s="9">
        <f>IF(B527=" ",1,B527+1)</f>
        <v>4</v>
      </c>
      <c r="C528" s="10" t="s">
        <v>659</v>
      </c>
      <c r="D528" s="11" t="s">
        <v>627</v>
      </c>
      <c r="E528" s="11" t="s">
        <v>29</v>
      </c>
      <c r="F528" s="15" t="str">
        <f>IF(Tabla15[[#This Row],[Columna1]]="","actividad","subactividad")</f>
        <v>subactividad</v>
      </c>
      <c r="G528" s="12"/>
      <c r="H528" s="19">
        <f t="shared" si="52"/>
        <v>46280</v>
      </c>
      <c r="I528" s="19">
        <f>IF(Tabla15[[#This Row],[Duracion ideal (dia)]]="",I527,Tabla15[[#This Row],[Inicio ideal]]+Tabla15[[#This Row],[Duracion ideal (dia)]])</f>
        <v>46280</v>
      </c>
      <c r="J528" s="12"/>
      <c r="K528" s="19">
        <f>IF(Tabla15[[#This Row],[Duracion Real (dia)]]="",K527,L527)</f>
        <v>46297</v>
      </c>
      <c r="L528" s="19">
        <f>IF(Tabla15[[#This Row],[Duracion Real (dia)]]="",L527,Tabla15[[#This Row],[Inicio Real]]+Tabla15[[#This Row],[Duracion Real (dia)]])</f>
        <v>46302</v>
      </c>
      <c r="M528" s="12"/>
      <c r="N528" s="19" t="s">
        <v>35</v>
      </c>
      <c r="O528" s="13" t="s">
        <v>35</v>
      </c>
      <c r="P528" s="13" t="s">
        <v>35</v>
      </c>
      <c r="Q528" s="13" t="s">
        <v>35</v>
      </c>
      <c r="R528" s="13" t="s">
        <v>35</v>
      </c>
      <c r="S528" s="13" t="s">
        <v>35</v>
      </c>
      <c r="T528" s="13" t="s">
        <v>35</v>
      </c>
    </row>
    <row r="529" spans="1:20" hidden="1">
      <c r="A529" s="9" t="str">
        <f>CONCATENATE($A$526,".",B529)</f>
        <v>4.1.5.5</v>
      </c>
      <c r="B529" s="9">
        <f>IF(B528=" ",1,B528+1)</f>
        <v>5</v>
      </c>
      <c r="C529" s="20" t="s">
        <v>660</v>
      </c>
      <c r="D529" s="15" t="s">
        <v>627</v>
      </c>
      <c r="E529" s="15" t="s">
        <v>29</v>
      </c>
      <c r="F529" s="15" t="str">
        <f>IF(Tabla15[[#This Row],[Columna1]]="","actividad","subactividad")</f>
        <v>subactividad</v>
      </c>
      <c r="G529" s="16"/>
      <c r="H529" s="19">
        <f t="shared" si="52"/>
        <v>46280</v>
      </c>
      <c r="I529" s="19">
        <f>IF(Tabla15[[#This Row],[Duracion ideal (dia)]]="",I528,Tabla15[[#This Row],[Inicio ideal]]+Tabla15[[#This Row],[Duracion ideal (dia)]])</f>
        <v>46280</v>
      </c>
      <c r="J529" s="16"/>
      <c r="K529" s="19">
        <f>IF(Tabla15[[#This Row],[Duracion Real (dia)]]="",K528,L528)</f>
        <v>46297</v>
      </c>
      <c r="L529" s="19">
        <f>IF(Tabla15[[#This Row],[Duracion Real (dia)]]="",L528,Tabla15[[#This Row],[Inicio Real]]+Tabla15[[#This Row],[Duracion Real (dia)]])</f>
        <v>46302</v>
      </c>
      <c r="M529" s="16"/>
      <c r="N529" s="19" t="s">
        <v>35</v>
      </c>
      <c r="O529" s="13" t="s">
        <v>35</v>
      </c>
      <c r="P529" s="13" t="s">
        <v>35</v>
      </c>
      <c r="Q529" s="13" t="s">
        <v>35</v>
      </c>
      <c r="R529" s="13" t="s">
        <v>35</v>
      </c>
      <c r="S529" s="13" t="s">
        <v>35</v>
      </c>
      <c r="T529" s="13" t="s">
        <v>35</v>
      </c>
    </row>
    <row r="530" spans="1:20">
      <c r="A530" s="9" t="s">
        <v>661</v>
      </c>
      <c r="B530" s="9"/>
      <c r="C530" s="22" t="s">
        <v>662</v>
      </c>
      <c r="D530" s="11" t="s">
        <v>627</v>
      </c>
      <c r="E530" s="11" t="s">
        <v>29</v>
      </c>
      <c r="F530" s="15" t="str">
        <f>IF(Tabla15[[#This Row],[Columna1]]="","actividad","subactividad")</f>
        <v>actividad</v>
      </c>
      <c r="G530" s="12" t="s">
        <v>209</v>
      </c>
      <c r="H530" s="19">
        <f t="shared" si="52"/>
        <v>46280</v>
      </c>
      <c r="I530" s="19">
        <f>IF(Tabla15[[#This Row],[Duracion ideal (dia)]]="",I529,Tabla15[[#This Row],[Inicio ideal]]+Tabla15[[#This Row],[Duracion ideal (dia)]])</f>
        <v>46284</v>
      </c>
      <c r="J530" s="12">
        <v>4</v>
      </c>
      <c r="K530" s="19">
        <f>IF(Tabla15[[#This Row],[Duracion Real (dia)]]="",K529,L529)</f>
        <v>46302</v>
      </c>
      <c r="L530" s="19">
        <f>IF(Tabla15[[#This Row],[Duracion Real (dia)]]="",L529,Tabla15[[#This Row],[Inicio Real]]+Tabla15[[#This Row],[Duracion Real (dia)]])</f>
        <v>46306</v>
      </c>
      <c r="M530" s="12">
        <v>4</v>
      </c>
      <c r="N530" s="19" t="s">
        <v>69</v>
      </c>
      <c r="O530" s="13">
        <v>50192.42</v>
      </c>
      <c r="P530" s="13">
        <v>5538.48</v>
      </c>
      <c r="Q530" s="13">
        <v>55730.899999999994</v>
      </c>
      <c r="R530" s="13">
        <v>56653.94</v>
      </c>
      <c r="S530" s="13">
        <v>65250.146000000001</v>
      </c>
      <c r="T530" s="13">
        <v>65250.146000000001</v>
      </c>
    </row>
    <row r="531" spans="1:20" hidden="1">
      <c r="A531" s="9" t="str">
        <f>CONCATENATE($A$530,".",B531)</f>
        <v>4.1.6.1</v>
      </c>
      <c r="B531" s="9">
        <f>IF(B530=" ",1,B530+1)</f>
        <v>1</v>
      </c>
      <c r="C531" s="20" t="s">
        <v>663</v>
      </c>
      <c r="D531" s="15" t="s">
        <v>627</v>
      </c>
      <c r="E531" s="15" t="s">
        <v>29</v>
      </c>
      <c r="F531" s="15" t="str">
        <f>IF(Tabla15[[#This Row],[Columna1]]="","actividad","subactividad")</f>
        <v>subactividad</v>
      </c>
      <c r="G531" s="16"/>
      <c r="H531" s="19">
        <f t="shared" si="52"/>
        <v>46284</v>
      </c>
      <c r="I531" s="19">
        <f>IF(Tabla15[[#This Row],[Duracion ideal (dia)]]="",I530,Tabla15[[#This Row],[Inicio ideal]]+Tabla15[[#This Row],[Duracion ideal (dia)]])</f>
        <v>46284</v>
      </c>
      <c r="J531" s="16"/>
      <c r="K531" s="19">
        <f>IF(Tabla15[[#This Row],[Duracion Real (dia)]]="",K530,L530)</f>
        <v>46302</v>
      </c>
      <c r="L531" s="19">
        <f>IF(Tabla15[[#This Row],[Duracion Real (dia)]]="",L530,Tabla15[[#This Row],[Inicio Real]]+Tabla15[[#This Row],[Duracion Real (dia)]])</f>
        <v>46306</v>
      </c>
      <c r="M531" s="16"/>
      <c r="N531" s="19" t="s">
        <v>35</v>
      </c>
      <c r="O531" s="13" t="s">
        <v>35</v>
      </c>
      <c r="P531" s="13" t="s">
        <v>35</v>
      </c>
      <c r="Q531" s="13" t="s">
        <v>35</v>
      </c>
      <c r="R531" s="13" t="s">
        <v>35</v>
      </c>
      <c r="S531" s="13" t="s">
        <v>35</v>
      </c>
      <c r="T531" s="13" t="s">
        <v>35</v>
      </c>
    </row>
    <row r="532" spans="1:20" hidden="1">
      <c r="A532" s="9" t="str">
        <f>CONCATENATE($A$530,".",B532)</f>
        <v>4.1.6.2</v>
      </c>
      <c r="B532" s="9">
        <f>IF(B531=" ",1,B531+1)</f>
        <v>2</v>
      </c>
      <c r="C532" s="10" t="s">
        <v>664</v>
      </c>
      <c r="D532" s="11" t="s">
        <v>627</v>
      </c>
      <c r="E532" s="11" t="s">
        <v>29</v>
      </c>
      <c r="F532" s="15" t="str">
        <f>IF(Tabla15[[#This Row],[Columna1]]="","actividad","subactividad")</f>
        <v>subactividad</v>
      </c>
      <c r="G532" s="12"/>
      <c r="H532" s="19">
        <f t="shared" si="52"/>
        <v>46284</v>
      </c>
      <c r="I532" s="19">
        <f>IF(Tabla15[[#This Row],[Duracion ideal (dia)]]="",I531,Tabla15[[#This Row],[Inicio ideal]]+Tabla15[[#This Row],[Duracion ideal (dia)]])</f>
        <v>46284</v>
      </c>
      <c r="J532" s="12"/>
      <c r="K532" s="19">
        <f>IF(Tabla15[[#This Row],[Duracion Real (dia)]]="",K531,L531)</f>
        <v>46302</v>
      </c>
      <c r="L532" s="19">
        <f>IF(Tabla15[[#This Row],[Duracion Real (dia)]]="",L531,Tabla15[[#This Row],[Inicio Real]]+Tabla15[[#This Row],[Duracion Real (dia)]])</f>
        <v>46306</v>
      </c>
      <c r="M532" s="12"/>
      <c r="N532" s="19" t="s">
        <v>35</v>
      </c>
      <c r="O532" s="13" t="s">
        <v>35</v>
      </c>
      <c r="P532" s="13" t="s">
        <v>35</v>
      </c>
      <c r="Q532" s="13" t="s">
        <v>35</v>
      </c>
      <c r="R532" s="13" t="s">
        <v>35</v>
      </c>
      <c r="S532" s="13" t="s">
        <v>35</v>
      </c>
      <c r="T532" s="13" t="s">
        <v>35</v>
      </c>
    </row>
    <row r="533" spans="1:20" hidden="1">
      <c r="A533" s="9" t="str">
        <f>CONCATENATE($A$530,".",B533)</f>
        <v>4.1.6.3</v>
      </c>
      <c r="B533" s="9">
        <f>IF(B532=" ",1,B532+1)</f>
        <v>3</v>
      </c>
      <c r="C533" s="20" t="s">
        <v>665</v>
      </c>
      <c r="D533" s="15" t="s">
        <v>627</v>
      </c>
      <c r="E533" s="15" t="s">
        <v>29</v>
      </c>
      <c r="F533" s="15" t="str">
        <f>IF(Tabla15[[#This Row],[Columna1]]="","actividad","subactividad")</f>
        <v>subactividad</v>
      </c>
      <c r="G533" s="16"/>
      <c r="H533" s="19">
        <f t="shared" si="52"/>
        <v>46284</v>
      </c>
      <c r="I533" s="19">
        <f>IF(Tabla15[[#This Row],[Duracion ideal (dia)]]="",I532,Tabla15[[#This Row],[Inicio ideal]]+Tabla15[[#This Row],[Duracion ideal (dia)]])</f>
        <v>46284</v>
      </c>
      <c r="J533" s="16"/>
      <c r="K533" s="19">
        <f>IF(Tabla15[[#This Row],[Duracion Real (dia)]]="",K532,L532)</f>
        <v>46302</v>
      </c>
      <c r="L533" s="19">
        <f>IF(Tabla15[[#This Row],[Duracion Real (dia)]]="",L532,Tabla15[[#This Row],[Inicio Real]]+Tabla15[[#This Row],[Duracion Real (dia)]])</f>
        <v>46306</v>
      </c>
      <c r="M533" s="16"/>
      <c r="N533" s="19" t="s">
        <v>35</v>
      </c>
      <c r="O533" s="13" t="s">
        <v>35</v>
      </c>
      <c r="P533" s="13" t="s">
        <v>35</v>
      </c>
      <c r="Q533" s="13" t="s">
        <v>35</v>
      </c>
      <c r="R533" s="13" t="s">
        <v>35</v>
      </c>
      <c r="S533" s="13" t="s">
        <v>35</v>
      </c>
      <c r="T533" s="13" t="s">
        <v>35</v>
      </c>
    </row>
    <row r="534" spans="1:20">
      <c r="A534" s="9" t="s">
        <v>666</v>
      </c>
      <c r="B534" s="9"/>
      <c r="C534" s="22" t="s">
        <v>667</v>
      </c>
      <c r="D534" s="11" t="s">
        <v>627</v>
      </c>
      <c r="E534" s="11" t="s">
        <v>29</v>
      </c>
      <c r="F534" s="15" t="str">
        <f>IF(Tabla15[[#This Row],[Columna1]]="","actividad","subactividad")</f>
        <v>actividad</v>
      </c>
      <c r="G534" s="12" t="s">
        <v>209</v>
      </c>
      <c r="H534" s="19">
        <f t="shared" si="52"/>
        <v>46284</v>
      </c>
      <c r="I534" s="19">
        <f>IF(Tabla15[[#This Row],[Duracion ideal (dia)]]="",I533,Tabla15[[#This Row],[Inicio ideal]]+Tabla15[[#This Row],[Duracion ideal (dia)]])</f>
        <v>46290</v>
      </c>
      <c r="J534" s="12">
        <v>6</v>
      </c>
      <c r="K534" s="19">
        <f>IF(Tabla15[[#This Row],[Duracion Real (dia)]]="",K533,L533)</f>
        <v>46306</v>
      </c>
      <c r="L534" s="19">
        <f>IF(Tabla15[[#This Row],[Duracion Real (dia)]]="",L533,Tabla15[[#This Row],[Inicio Real]]+Tabla15[[#This Row],[Duracion Real (dia)]])</f>
        <v>46309</v>
      </c>
      <c r="M534" s="12">
        <v>3</v>
      </c>
      <c r="N534" s="19" t="s">
        <v>69</v>
      </c>
      <c r="O534" s="13">
        <v>50192.42</v>
      </c>
      <c r="P534" s="13">
        <v>6923.0999999999995</v>
      </c>
      <c r="Q534" s="13">
        <v>57115.519999999997</v>
      </c>
      <c r="R534" s="13">
        <v>59884.7</v>
      </c>
      <c r="S534" s="13">
        <v>65250.146000000001</v>
      </c>
      <c r="T534" s="13">
        <v>65250.146000000001</v>
      </c>
    </row>
    <row r="535" spans="1:20" hidden="1">
      <c r="A535" s="9" t="str">
        <f>CONCATENATE($A$534,".",B535)</f>
        <v>4.1.7.1</v>
      </c>
      <c r="B535" s="9">
        <f>IF(B534=" ",1,B534+1)</f>
        <v>1</v>
      </c>
      <c r="C535" s="20" t="s">
        <v>668</v>
      </c>
      <c r="D535" s="15" t="s">
        <v>627</v>
      </c>
      <c r="E535" s="15" t="s">
        <v>29</v>
      </c>
      <c r="F535" s="15" t="str">
        <f>IF(Tabla15[[#This Row],[Columna1]]="","actividad","subactividad")</f>
        <v>subactividad</v>
      </c>
      <c r="G535" s="16"/>
      <c r="H535" s="19">
        <f t="shared" si="52"/>
        <v>46290</v>
      </c>
      <c r="I535" s="19">
        <f>IF(Tabla15[[#This Row],[Duracion ideal (dia)]]="",I534,Tabla15[[#This Row],[Inicio ideal]]+Tabla15[[#This Row],[Duracion ideal (dia)]])</f>
        <v>46290</v>
      </c>
      <c r="J535" s="16"/>
      <c r="K535" s="19">
        <f>IF(Tabla15[[#This Row],[Duracion Real (dia)]]="",K534,L534)</f>
        <v>46306</v>
      </c>
      <c r="L535" s="19">
        <f>IF(Tabla15[[#This Row],[Duracion Real (dia)]]="",L534,Tabla15[[#This Row],[Inicio Real]]+Tabla15[[#This Row],[Duracion Real (dia)]])</f>
        <v>46309</v>
      </c>
      <c r="M535" s="16"/>
      <c r="N535" s="19" t="s">
        <v>35</v>
      </c>
      <c r="O535" s="13" t="s">
        <v>35</v>
      </c>
      <c r="P535" s="13" t="s">
        <v>35</v>
      </c>
      <c r="Q535" s="13" t="s">
        <v>35</v>
      </c>
      <c r="R535" s="13" t="s">
        <v>35</v>
      </c>
      <c r="S535" s="13" t="s">
        <v>35</v>
      </c>
      <c r="T535" s="13" t="s">
        <v>35</v>
      </c>
    </row>
    <row r="536" spans="1:20" hidden="1">
      <c r="A536" s="9" t="str">
        <f>CONCATENATE($A$534,".",B536)</f>
        <v>4.1.7.2</v>
      </c>
      <c r="B536" s="9">
        <f>IF(B535=" ",1,B535+1)</f>
        <v>2</v>
      </c>
      <c r="C536" s="10" t="s">
        <v>669</v>
      </c>
      <c r="D536" s="11" t="s">
        <v>627</v>
      </c>
      <c r="E536" s="11" t="s">
        <v>29</v>
      </c>
      <c r="F536" s="15" t="str">
        <f>IF(Tabla15[[#This Row],[Columna1]]="","actividad","subactividad")</f>
        <v>subactividad</v>
      </c>
      <c r="G536" s="12"/>
      <c r="H536" s="19">
        <f t="shared" si="52"/>
        <v>46290</v>
      </c>
      <c r="I536" s="19">
        <f>IF(Tabla15[[#This Row],[Duracion ideal (dia)]]="",I535,Tabla15[[#This Row],[Inicio ideal]]+Tabla15[[#This Row],[Duracion ideal (dia)]])</f>
        <v>46290</v>
      </c>
      <c r="J536" s="12"/>
      <c r="K536" s="19">
        <f>IF(Tabla15[[#This Row],[Duracion Real (dia)]]="",K535,L535)</f>
        <v>46306</v>
      </c>
      <c r="L536" s="19">
        <f>IF(Tabla15[[#This Row],[Duracion Real (dia)]]="",L535,Tabla15[[#This Row],[Inicio Real]]+Tabla15[[#This Row],[Duracion Real (dia)]])</f>
        <v>46309</v>
      </c>
      <c r="M536" s="12"/>
      <c r="N536" s="19" t="s">
        <v>35</v>
      </c>
      <c r="O536" s="13" t="s">
        <v>35</v>
      </c>
      <c r="P536" s="13" t="s">
        <v>35</v>
      </c>
      <c r="Q536" s="13" t="s">
        <v>35</v>
      </c>
      <c r="R536" s="13" t="s">
        <v>35</v>
      </c>
      <c r="S536" s="13" t="s">
        <v>35</v>
      </c>
      <c r="T536" s="13" t="s">
        <v>35</v>
      </c>
    </row>
    <row r="537" spans="1:20" hidden="1">
      <c r="A537" s="9" t="str">
        <f>CONCATENATE($A$534,".",B537)</f>
        <v>4.1.7.3</v>
      </c>
      <c r="B537" s="9">
        <f>IF(B536=" ",1,B536+1)</f>
        <v>3</v>
      </c>
      <c r="C537" s="20" t="s">
        <v>670</v>
      </c>
      <c r="D537" s="15" t="s">
        <v>627</v>
      </c>
      <c r="E537" s="15" t="s">
        <v>29</v>
      </c>
      <c r="F537" s="15" t="str">
        <f>IF(Tabla15[[#This Row],[Columna1]]="","actividad","subactividad")</f>
        <v>subactividad</v>
      </c>
      <c r="G537" s="16"/>
      <c r="H537" s="19">
        <f t="shared" si="52"/>
        <v>46290</v>
      </c>
      <c r="I537" s="19">
        <f>IF(Tabla15[[#This Row],[Duracion ideal (dia)]]="",I536,Tabla15[[#This Row],[Inicio ideal]]+Tabla15[[#This Row],[Duracion ideal (dia)]])</f>
        <v>46290</v>
      </c>
      <c r="J537" s="16"/>
      <c r="K537" s="19">
        <f>IF(Tabla15[[#This Row],[Duracion Real (dia)]]="",K536,L536)</f>
        <v>46306</v>
      </c>
      <c r="L537" s="19">
        <f>IF(Tabla15[[#This Row],[Duracion Real (dia)]]="",L536,Tabla15[[#This Row],[Inicio Real]]+Tabla15[[#This Row],[Duracion Real (dia)]])</f>
        <v>46309</v>
      </c>
      <c r="M537" s="16"/>
      <c r="N537" s="19" t="s">
        <v>35</v>
      </c>
      <c r="O537" s="13" t="s">
        <v>35</v>
      </c>
      <c r="P537" s="13" t="s">
        <v>35</v>
      </c>
      <c r="Q537" s="13" t="s">
        <v>35</v>
      </c>
      <c r="R537" s="13" t="s">
        <v>35</v>
      </c>
      <c r="S537" s="13" t="s">
        <v>35</v>
      </c>
      <c r="T537" s="13" t="s">
        <v>35</v>
      </c>
    </row>
    <row r="538" spans="1:20">
      <c r="A538" s="9" t="s">
        <v>671</v>
      </c>
      <c r="B538" s="9"/>
      <c r="C538" s="22" t="s">
        <v>672</v>
      </c>
      <c r="D538" s="11" t="s">
        <v>627</v>
      </c>
      <c r="E538" s="11" t="s">
        <v>29</v>
      </c>
      <c r="F538" s="15" t="str">
        <f>IF(Tabla15[[#This Row],[Columna1]]="","actividad","subactividad")</f>
        <v>actividad</v>
      </c>
      <c r="G538" s="12" t="s">
        <v>209</v>
      </c>
      <c r="H538" s="19">
        <f t="shared" si="52"/>
        <v>46290</v>
      </c>
      <c r="I538" s="19">
        <f>IF(Tabla15[[#This Row],[Duracion ideal (dia)]]="",I537,Tabla15[[#This Row],[Inicio ideal]]+Tabla15[[#This Row],[Duracion ideal (dia)]])</f>
        <v>46298</v>
      </c>
      <c r="J538" s="12">
        <v>8</v>
      </c>
      <c r="K538" s="19">
        <f>IF(Tabla15[[#This Row],[Duracion Real (dia)]]="",K537,L537)</f>
        <v>46309</v>
      </c>
      <c r="L538" s="19">
        <f>IF(Tabla15[[#This Row],[Duracion Real (dia)]]="",L537,Tabla15[[#This Row],[Inicio Real]]+Tabla15[[#This Row],[Duracion Real (dia)]])</f>
        <v>46313</v>
      </c>
      <c r="M538" s="12">
        <v>4</v>
      </c>
      <c r="N538" s="19" t="s">
        <v>60</v>
      </c>
      <c r="O538" s="13">
        <v>50192.42</v>
      </c>
      <c r="P538" s="13">
        <v>9969.2000000000007</v>
      </c>
      <c r="Q538" s="13">
        <v>60161.619999999995</v>
      </c>
      <c r="R538" s="13">
        <v>64953.619999999995</v>
      </c>
      <c r="S538" s="13">
        <v>65250.146000000001</v>
      </c>
      <c r="T538" s="13">
        <v>65250.146000000001</v>
      </c>
    </row>
    <row r="539" spans="1:20" hidden="1">
      <c r="A539" s="9" t="str">
        <f>CONCATENATE($A$538,".",B539)</f>
        <v>4.1.8.1</v>
      </c>
      <c r="B539" s="9">
        <f>IF(B538=" ",1,B538+1)</f>
        <v>1</v>
      </c>
      <c r="C539" s="20" t="s">
        <v>673</v>
      </c>
      <c r="D539" s="15" t="s">
        <v>627</v>
      </c>
      <c r="E539" s="15" t="s">
        <v>29</v>
      </c>
      <c r="F539" s="15" t="str">
        <f>IF(Tabla15[[#This Row],[Columna1]]="","actividad","subactividad")</f>
        <v>subactividad</v>
      </c>
      <c r="G539" s="16"/>
      <c r="H539" s="19">
        <f t="shared" si="52"/>
        <v>46298</v>
      </c>
      <c r="I539" s="19">
        <f>IF(Tabla15[[#This Row],[Duracion ideal (dia)]]="",I538,Tabla15[[#This Row],[Inicio ideal]]+Tabla15[[#This Row],[Duracion ideal (dia)]])</f>
        <v>46298</v>
      </c>
      <c r="J539" s="16"/>
      <c r="K539" s="19">
        <f>IF(Tabla15[[#This Row],[Duracion Real (dia)]]="",K538,L538)</f>
        <v>46309</v>
      </c>
      <c r="L539" s="19">
        <f>IF(Tabla15[[#This Row],[Duracion Real (dia)]]="",L538,Tabla15[[#This Row],[Inicio Real]]+Tabla15[[#This Row],[Duracion Real (dia)]])</f>
        <v>46313</v>
      </c>
      <c r="M539" s="16"/>
      <c r="N539" s="19" t="s">
        <v>35</v>
      </c>
      <c r="O539" s="13" t="s">
        <v>35</v>
      </c>
      <c r="P539" s="13" t="s">
        <v>35</v>
      </c>
      <c r="Q539" s="13" t="s">
        <v>35</v>
      </c>
      <c r="R539" s="13" t="s">
        <v>35</v>
      </c>
      <c r="S539" s="13" t="s">
        <v>35</v>
      </c>
      <c r="T539" s="13" t="s">
        <v>35</v>
      </c>
    </row>
    <row r="540" spans="1:20" hidden="1">
      <c r="A540" s="9" t="str">
        <f>CONCATENATE($A$538,".",B540)</f>
        <v>4.1.8.2</v>
      </c>
      <c r="B540" s="9">
        <f>IF(B539=" ",1,B539+1)</f>
        <v>2</v>
      </c>
      <c r="C540" s="10" t="s">
        <v>674</v>
      </c>
      <c r="D540" s="11" t="s">
        <v>627</v>
      </c>
      <c r="E540" s="11" t="s">
        <v>29</v>
      </c>
      <c r="F540" s="15" t="str">
        <f>IF(Tabla15[[#This Row],[Columna1]]="","actividad","subactividad")</f>
        <v>subactividad</v>
      </c>
      <c r="G540" s="12"/>
      <c r="H540" s="19">
        <f t="shared" si="52"/>
        <v>46298</v>
      </c>
      <c r="I540" s="19">
        <f>IF(Tabla15[[#This Row],[Duracion ideal (dia)]]="",I539,Tabla15[[#This Row],[Inicio ideal]]+Tabla15[[#This Row],[Duracion ideal (dia)]])</f>
        <v>46298</v>
      </c>
      <c r="J540" s="12"/>
      <c r="K540" s="19">
        <f>IF(Tabla15[[#This Row],[Duracion Real (dia)]]="",K539,L539)</f>
        <v>46309</v>
      </c>
      <c r="L540" s="19">
        <f>IF(Tabla15[[#This Row],[Duracion Real (dia)]]="",L539,Tabla15[[#This Row],[Inicio Real]]+Tabla15[[#This Row],[Duracion Real (dia)]])</f>
        <v>46313</v>
      </c>
      <c r="M540" s="12"/>
      <c r="N540" s="19" t="s">
        <v>35</v>
      </c>
      <c r="O540" s="13" t="s">
        <v>35</v>
      </c>
      <c r="P540" s="13" t="s">
        <v>35</v>
      </c>
      <c r="Q540" s="13" t="s">
        <v>35</v>
      </c>
      <c r="R540" s="13" t="s">
        <v>35</v>
      </c>
      <c r="S540" s="13" t="s">
        <v>35</v>
      </c>
      <c r="T540" s="13" t="s">
        <v>35</v>
      </c>
    </row>
    <row r="541" spans="1:20" hidden="1">
      <c r="A541" s="9" t="str">
        <f>CONCATENATE($A$538,".",B541)</f>
        <v>4.1.8.3</v>
      </c>
      <c r="B541" s="9">
        <f>IF(B540=" ",1,B540+1)</f>
        <v>3</v>
      </c>
      <c r="C541" s="20" t="s">
        <v>675</v>
      </c>
      <c r="D541" s="15" t="s">
        <v>627</v>
      </c>
      <c r="E541" s="15" t="s">
        <v>29</v>
      </c>
      <c r="F541" s="15" t="str">
        <f>IF(Tabla15[[#This Row],[Columna1]]="","actividad","subactividad")</f>
        <v>subactividad</v>
      </c>
      <c r="G541" s="16"/>
      <c r="H541" s="19">
        <f t="shared" si="52"/>
        <v>46298</v>
      </c>
      <c r="I541" s="19">
        <f>IF(Tabla15[[#This Row],[Duracion ideal (dia)]]="",I540,Tabla15[[#This Row],[Inicio ideal]]+Tabla15[[#This Row],[Duracion ideal (dia)]])</f>
        <v>46298</v>
      </c>
      <c r="J541" s="16"/>
      <c r="K541" s="19">
        <f>IF(Tabla15[[#This Row],[Duracion Real (dia)]]="",K540,L540)</f>
        <v>46309</v>
      </c>
      <c r="L541" s="19">
        <f>IF(Tabla15[[#This Row],[Duracion Real (dia)]]="",L540,Tabla15[[#This Row],[Inicio Real]]+Tabla15[[#This Row],[Duracion Real (dia)]])</f>
        <v>46313</v>
      </c>
      <c r="M541" s="16"/>
      <c r="N541" s="19" t="s">
        <v>35</v>
      </c>
      <c r="O541" s="13" t="s">
        <v>35</v>
      </c>
      <c r="P541" s="13" t="s">
        <v>35</v>
      </c>
      <c r="Q541" s="13" t="s">
        <v>35</v>
      </c>
      <c r="R541" s="13" t="s">
        <v>35</v>
      </c>
      <c r="S541" s="13" t="s">
        <v>35</v>
      </c>
      <c r="T541" s="13" t="s">
        <v>35</v>
      </c>
    </row>
    <row r="542" spans="1:20" hidden="1">
      <c r="A542" s="9" t="str">
        <f>CONCATENATE($A$538,".",B542)</f>
        <v>4.1.8.4</v>
      </c>
      <c r="B542" s="9">
        <f>IF(B541=" ",1,B541+1)</f>
        <v>4</v>
      </c>
      <c r="C542" s="10" t="s">
        <v>676</v>
      </c>
      <c r="D542" s="11" t="s">
        <v>627</v>
      </c>
      <c r="E542" s="11" t="s">
        <v>29</v>
      </c>
      <c r="F542" s="15" t="str">
        <f>IF(Tabla15[[#This Row],[Columna1]]="","actividad","subactividad")</f>
        <v>subactividad</v>
      </c>
      <c r="G542" s="12"/>
      <c r="H542" s="19">
        <f t="shared" si="52"/>
        <v>46298</v>
      </c>
      <c r="I542" s="19">
        <f>IF(Tabla15[[#This Row],[Duracion ideal (dia)]]="",I541,Tabla15[[#This Row],[Inicio ideal]]+Tabla15[[#This Row],[Duracion ideal (dia)]])</f>
        <v>46298</v>
      </c>
      <c r="J542" s="12"/>
      <c r="K542" s="19">
        <f>IF(Tabla15[[#This Row],[Duracion Real (dia)]]="",K541,L541)</f>
        <v>46309</v>
      </c>
      <c r="L542" s="19">
        <f>IF(Tabla15[[#This Row],[Duracion Real (dia)]]="",L541,Tabla15[[#This Row],[Inicio Real]]+Tabla15[[#This Row],[Duracion Real (dia)]])</f>
        <v>46313</v>
      </c>
      <c r="M542" s="12"/>
      <c r="N542" s="19" t="s">
        <v>35</v>
      </c>
      <c r="O542" s="13" t="s">
        <v>35</v>
      </c>
      <c r="P542" s="13" t="s">
        <v>35</v>
      </c>
      <c r="Q542" s="13" t="s">
        <v>35</v>
      </c>
      <c r="R542" s="13" t="s">
        <v>35</v>
      </c>
      <c r="S542" s="13" t="s">
        <v>35</v>
      </c>
      <c r="T542" s="13" t="s">
        <v>35</v>
      </c>
    </row>
    <row r="543" spans="1:20" hidden="1">
      <c r="A543" s="9" t="s">
        <v>677</v>
      </c>
      <c r="B543" s="9">
        <f>IF(B542=" ",1,B542+1)</f>
        <v>5</v>
      </c>
      <c r="C543" s="17" t="s">
        <v>678</v>
      </c>
      <c r="D543" s="15" t="s">
        <v>627</v>
      </c>
      <c r="E543" s="26" t="s">
        <v>85</v>
      </c>
      <c r="F543" s="15" t="str">
        <f>IF(Tabla15[[#This Row],[Columna1]]="","actividad","subactividad")</f>
        <v>subactividad</v>
      </c>
      <c r="G543" s="16"/>
      <c r="H543" s="19">
        <f t="shared" si="52"/>
        <v>46298</v>
      </c>
      <c r="I543" s="19">
        <f>IF(Tabla15[[#This Row],[Duracion ideal (dia)]]="",I542,Tabla15[[#This Row],[Inicio ideal]]+Tabla15[[#This Row],[Duracion ideal (dia)]])</f>
        <v>46298</v>
      </c>
      <c r="J543" s="16"/>
      <c r="K543" s="19">
        <f>IF(Tabla15[[#This Row],[Duracion Real (dia)]]="",K542,L542)</f>
        <v>46309</v>
      </c>
      <c r="L543" s="19">
        <f>IF(Tabla15[[#This Row],[Duracion Real (dia)]]="",L542,Tabla15[[#This Row],[Inicio Real]]+Tabla15[[#This Row],[Duracion Real (dia)]])</f>
        <v>46313</v>
      </c>
      <c r="M543" s="16"/>
      <c r="N543" s="19" t="s">
        <v>35</v>
      </c>
      <c r="O543" s="13" t="s">
        <v>35</v>
      </c>
      <c r="P543" s="13" t="s">
        <v>35</v>
      </c>
      <c r="Q543" s="13" t="s">
        <v>35</v>
      </c>
      <c r="R543" s="13" t="s">
        <v>35</v>
      </c>
      <c r="S543" s="13" t="s">
        <v>35</v>
      </c>
      <c r="T543" s="13" t="s">
        <v>35</v>
      </c>
    </row>
    <row r="544" spans="1:20">
      <c r="A544" s="9" t="s">
        <v>679</v>
      </c>
      <c r="B544" s="9"/>
      <c r="C544" s="22" t="s">
        <v>87</v>
      </c>
      <c r="D544" s="11" t="s">
        <v>627</v>
      </c>
      <c r="E544" s="26" t="s">
        <v>85</v>
      </c>
      <c r="F544" s="15" t="str">
        <f>IF(Tabla15[[#This Row],[Columna1]]="","actividad","subactividad")</f>
        <v>actividad</v>
      </c>
      <c r="G544" s="12" t="s">
        <v>32</v>
      </c>
      <c r="H544" s="19">
        <f t="shared" si="52"/>
        <v>46298</v>
      </c>
      <c r="I544" s="19">
        <f>IF(Tabla15[[#This Row],[Duracion ideal (dia)]]="",I543,Tabla15[[#This Row],[Inicio ideal]]+Tabla15[[#This Row],[Duracion ideal (dia)]])</f>
        <v>46306</v>
      </c>
      <c r="J544" s="12">
        <v>8</v>
      </c>
      <c r="K544" s="19">
        <f>IF(Tabla15[[#This Row],[Duracion Real (dia)]]="",K543,L543)</f>
        <v>46313</v>
      </c>
      <c r="L544" s="19">
        <f>IF(Tabla15[[#This Row],[Duracion Real (dia)]]="",L543,Tabla15[[#This Row],[Inicio Real]]+Tabla15[[#This Row],[Duracion Real (dia)]])</f>
        <v>46317</v>
      </c>
      <c r="M544" s="12">
        <v>4</v>
      </c>
      <c r="N544" s="19" t="s">
        <v>160</v>
      </c>
      <c r="O544" s="13">
        <v>50192.42</v>
      </c>
      <c r="P544" s="13">
        <v>14761.2</v>
      </c>
      <c r="Q544" s="13">
        <v>64953.619999999995</v>
      </c>
      <c r="R544" s="13">
        <v>61269.38</v>
      </c>
      <c r="S544" s="13">
        <v>65250.146000000001</v>
      </c>
      <c r="T544" s="13">
        <v>65250.146000000001</v>
      </c>
    </row>
    <row r="545" spans="1:20" hidden="1">
      <c r="A545" s="9" t="str">
        <f t="shared" ref="A545:A550" si="54">CONCATENATE($A$544,".",B545)</f>
        <v>4.2.1.1</v>
      </c>
      <c r="B545" s="9">
        <f t="shared" ref="B545:B550" si="55">IF(B544=" ",1,B544+1)</f>
        <v>1</v>
      </c>
      <c r="C545" s="20" t="s">
        <v>89</v>
      </c>
      <c r="D545" s="15" t="s">
        <v>627</v>
      </c>
      <c r="E545" s="26" t="s">
        <v>85</v>
      </c>
      <c r="F545" s="15" t="str">
        <f>IF(Tabla15[[#This Row],[Columna1]]="","actividad","subactividad")</f>
        <v>subactividad</v>
      </c>
      <c r="G545" s="16"/>
      <c r="H545" s="19">
        <f t="shared" si="52"/>
        <v>46306</v>
      </c>
      <c r="I545" s="19">
        <f>IF(Tabla15[[#This Row],[Duracion ideal (dia)]]="",I544,Tabla15[[#This Row],[Inicio ideal]]+Tabla15[[#This Row],[Duracion ideal (dia)]])</f>
        <v>46306</v>
      </c>
      <c r="J545" s="16"/>
      <c r="K545" s="19">
        <f>IF(Tabla15[[#This Row],[Duracion Real (dia)]]="",K544,L544)</f>
        <v>46313</v>
      </c>
      <c r="L545" s="19">
        <f>IF(Tabla15[[#This Row],[Duracion Real (dia)]]="",L544,Tabla15[[#This Row],[Inicio Real]]+Tabla15[[#This Row],[Duracion Real (dia)]])</f>
        <v>46317</v>
      </c>
      <c r="M545" s="16"/>
      <c r="N545" s="19" t="s">
        <v>35</v>
      </c>
      <c r="O545" s="13" t="s">
        <v>35</v>
      </c>
      <c r="P545" s="13" t="s">
        <v>35</v>
      </c>
      <c r="Q545" s="13" t="s">
        <v>35</v>
      </c>
      <c r="R545" s="13" t="s">
        <v>35</v>
      </c>
      <c r="S545" s="13" t="s">
        <v>35</v>
      </c>
      <c r="T545" s="13" t="s">
        <v>35</v>
      </c>
    </row>
    <row r="546" spans="1:20" hidden="1">
      <c r="A546" s="9" t="str">
        <f t="shared" si="54"/>
        <v>4.2.1.2</v>
      </c>
      <c r="B546" s="9">
        <f t="shared" si="55"/>
        <v>2</v>
      </c>
      <c r="C546" s="10" t="s">
        <v>90</v>
      </c>
      <c r="D546" s="11" t="s">
        <v>627</v>
      </c>
      <c r="E546" s="26" t="s">
        <v>85</v>
      </c>
      <c r="F546" s="15" t="str">
        <f>IF(Tabla15[[#This Row],[Columna1]]="","actividad","subactividad")</f>
        <v>subactividad</v>
      </c>
      <c r="G546" s="12"/>
      <c r="H546" s="19">
        <f t="shared" si="52"/>
        <v>46306</v>
      </c>
      <c r="I546" s="19">
        <f>IF(Tabla15[[#This Row],[Duracion ideal (dia)]]="",I545,Tabla15[[#This Row],[Inicio ideal]]+Tabla15[[#This Row],[Duracion ideal (dia)]])</f>
        <v>46306</v>
      </c>
      <c r="J546" s="12"/>
      <c r="K546" s="19">
        <f>IF(Tabla15[[#This Row],[Duracion Real (dia)]]="",K545,L545)</f>
        <v>46313</v>
      </c>
      <c r="L546" s="19">
        <f>IF(Tabla15[[#This Row],[Duracion Real (dia)]]="",L545,Tabla15[[#This Row],[Inicio Real]]+Tabla15[[#This Row],[Duracion Real (dia)]])</f>
        <v>46317</v>
      </c>
      <c r="M546" s="12"/>
      <c r="N546" s="19" t="s">
        <v>35</v>
      </c>
      <c r="O546" s="13" t="s">
        <v>35</v>
      </c>
      <c r="P546" s="13" t="s">
        <v>35</v>
      </c>
      <c r="Q546" s="13" t="s">
        <v>35</v>
      </c>
      <c r="R546" s="13" t="s">
        <v>35</v>
      </c>
      <c r="S546" s="13" t="s">
        <v>35</v>
      </c>
      <c r="T546" s="13" t="s">
        <v>35</v>
      </c>
    </row>
    <row r="547" spans="1:20" hidden="1">
      <c r="A547" s="9" t="str">
        <f t="shared" si="54"/>
        <v>4.2.1.3</v>
      </c>
      <c r="B547" s="9">
        <f t="shared" si="55"/>
        <v>3</v>
      </c>
      <c r="C547" s="20" t="s">
        <v>91</v>
      </c>
      <c r="D547" s="15" t="s">
        <v>627</v>
      </c>
      <c r="E547" s="26" t="s">
        <v>85</v>
      </c>
      <c r="F547" s="15" t="str">
        <f>IF(Tabla15[[#This Row],[Columna1]]="","actividad","subactividad")</f>
        <v>subactividad</v>
      </c>
      <c r="G547" s="16"/>
      <c r="H547" s="19">
        <f t="shared" si="52"/>
        <v>46306</v>
      </c>
      <c r="I547" s="19">
        <f>IF(Tabla15[[#This Row],[Duracion ideal (dia)]]="",I546,Tabla15[[#This Row],[Inicio ideal]]+Tabla15[[#This Row],[Duracion ideal (dia)]])</f>
        <v>46306</v>
      </c>
      <c r="J547" s="16"/>
      <c r="K547" s="19">
        <f>IF(Tabla15[[#This Row],[Duracion Real (dia)]]="",K546,L546)</f>
        <v>46313</v>
      </c>
      <c r="L547" s="19">
        <f>IF(Tabla15[[#This Row],[Duracion Real (dia)]]="",L546,Tabla15[[#This Row],[Inicio Real]]+Tabla15[[#This Row],[Duracion Real (dia)]])</f>
        <v>46317</v>
      </c>
      <c r="M547" s="16"/>
      <c r="N547" s="19" t="s">
        <v>35</v>
      </c>
      <c r="O547" s="13" t="s">
        <v>35</v>
      </c>
      <c r="P547" s="13" t="s">
        <v>35</v>
      </c>
      <c r="Q547" s="13" t="s">
        <v>35</v>
      </c>
      <c r="R547" s="13" t="s">
        <v>35</v>
      </c>
      <c r="S547" s="13" t="s">
        <v>35</v>
      </c>
      <c r="T547" s="13" t="s">
        <v>35</v>
      </c>
    </row>
    <row r="548" spans="1:20" hidden="1">
      <c r="A548" s="9" t="str">
        <f t="shared" si="54"/>
        <v>4.2.1.4</v>
      </c>
      <c r="B548" s="9">
        <f t="shared" si="55"/>
        <v>4</v>
      </c>
      <c r="C548" s="10" t="s">
        <v>92</v>
      </c>
      <c r="D548" s="11" t="s">
        <v>627</v>
      </c>
      <c r="E548" s="26" t="s">
        <v>85</v>
      </c>
      <c r="F548" s="15" t="str">
        <f>IF(Tabla15[[#This Row],[Columna1]]="","actividad","subactividad")</f>
        <v>subactividad</v>
      </c>
      <c r="G548" s="12"/>
      <c r="H548" s="19">
        <f t="shared" si="52"/>
        <v>46306</v>
      </c>
      <c r="I548" s="19">
        <f>IF(Tabla15[[#This Row],[Duracion ideal (dia)]]="",I547,Tabla15[[#This Row],[Inicio ideal]]+Tabla15[[#This Row],[Duracion ideal (dia)]])</f>
        <v>46306</v>
      </c>
      <c r="J548" s="12"/>
      <c r="K548" s="19">
        <f>IF(Tabla15[[#This Row],[Duracion Real (dia)]]="",K547,L547)</f>
        <v>46313</v>
      </c>
      <c r="L548" s="19">
        <f>IF(Tabla15[[#This Row],[Duracion Real (dia)]]="",L547,Tabla15[[#This Row],[Inicio Real]]+Tabla15[[#This Row],[Duracion Real (dia)]])</f>
        <v>46317</v>
      </c>
      <c r="M548" s="12"/>
      <c r="N548" s="19" t="s">
        <v>35</v>
      </c>
      <c r="O548" s="13" t="s">
        <v>35</v>
      </c>
      <c r="P548" s="13" t="s">
        <v>35</v>
      </c>
      <c r="Q548" s="13" t="s">
        <v>35</v>
      </c>
      <c r="R548" s="13" t="s">
        <v>35</v>
      </c>
      <c r="S548" s="13" t="s">
        <v>35</v>
      </c>
      <c r="T548" s="13" t="s">
        <v>35</v>
      </c>
    </row>
    <row r="549" spans="1:20" hidden="1">
      <c r="A549" s="9" t="str">
        <f t="shared" si="54"/>
        <v>4.2.1.5</v>
      </c>
      <c r="B549" s="9">
        <f t="shared" si="55"/>
        <v>5</v>
      </c>
      <c r="C549" s="20" t="s">
        <v>93</v>
      </c>
      <c r="D549" s="15" t="s">
        <v>627</v>
      </c>
      <c r="E549" s="26" t="s">
        <v>85</v>
      </c>
      <c r="F549" s="15" t="str">
        <f>IF(Tabla15[[#This Row],[Columna1]]="","actividad","subactividad")</f>
        <v>subactividad</v>
      </c>
      <c r="G549" s="16"/>
      <c r="H549" s="19">
        <f t="shared" si="52"/>
        <v>46306</v>
      </c>
      <c r="I549" s="19">
        <f>IF(Tabla15[[#This Row],[Duracion ideal (dia)]]="",I548,Tabla15[[#This Row],[Inicio ideal]]+Tabla15[[#This Row],[Duracion ideal (dia)]])</f>
        <v>46306</v>
      </c>
      <c r="J549" s="16"/>
      <c r="K549" s="19">
        <f>IF(Tabla15[[#This Row],[Duracion Real (dia)]]="",K548,L548)</f>
        <v>46313</v>
      </c>
      <c r="L549" s="19">
        <f>IF(Tabla15[[#This Row],[Duracion Real (dia)]]="",L548,Tabla15[[#This Row],[Inicio Real]]+Tabla15[[#This Row],[Duracion Real (dia)]])</f>
        <v>46317</v>
      </c>
      <c r="M549" s="16"/>
      <c r="N549" s="19" t="s">
        <v>35</v>
      </c>
      <c r="O549" s="13" t="s">
        <v>35</v>
      </c>
      <c r="P549" s="13" t="s">
        <v>35</v>
      </c>
      <c r="Q549" s="13" t="s">
        <v>35</v>
      </c>
      <c r="R549" s="13" t="s">
        <v>35</v>
      </c>
      <c r="S549" s="13" t="s">
        <v>35</v>
      </c>
      <c r="T549" s="13" t="s">
        <v>35</v>
      </c>
    </row>
    <row r="550" spans="1:20" hidden="1">
      <c r="A550" s="9" t="str">
        <f t="shared" si="54"/>
        <v>4.2.1.6</v>
      </c>
      <c r="B550" s="9">
        <f t="shared" si="55"/>
        <v>6</v>
      </c>
      <c r="C550" s="10" t="s">
        <v>94</v>
      </c>
      <c r="D550" s="11" t="s">
        <v>627</v>
      </c>
      <c r="E550" s="26" t="s">
        <v>85</v>
      </c>
      <c r="F550" s="15" t="str">
        <f>IF(Tabla15[[#This Row],[Columna1]]="","actividad","subactividad")</f>
        <v>subactividad</v>
      </c>
      <c r="G550" s="12"/>
      <c r="H550" s="19">
        <f t="shared" si="52"/>
        <v>46306</v>
      </c>
      <c r="I550" s="19">
        <f>IF(Tabla15[[#This Row],[Duracion ideal (dia)]]="",I549,Tabla15[[#This Row],[Inicio ideal]]+Tabla15[[#This Row],[Duracion ideal (dia)]])</f>
        <v>46306</v>
      </c>
      <c r="J550" s="12"/>
      <c r="K550" s="19">
        <f>IF(Tabla15[[#This Row],[Duracion Real (dia)]]="",K549,L549)</f>
        <v>46313</v>
      </c>
      <c r="L550" s="19">
        <f>IF(Tabla15[[#This Row],[Duracion Real (dia)]]="",L549,Tabla15[[#This Row],[Inicio Real]]+Tabla15[[#This Row],[Duracion Real (dia)]])</f>
        <v>46317</v>
      </c>
      <c r="M550" s="12"/>
      <c r="N550" s="19" t="s">
        <v>35</v>
      </c>
      <c r="O550" s="13" t="s">
        <v>35</v>
      </c>
      <c r="P550" s="13" t="s">
        <v>35</v>
      </c>
      <c r="Q550" s="13" t="s">
        <v>35</v>
      </c>
      <c r="R550" s="13" t="s">
        <v>35</v>
      </c>
      <c r="S550" s="13" t="s">
        <v>35</v>
      </c>
      <c r="T550" s="13" t="s">
        <v>35</v>
      </c>
    </row>
    <row r="551" spans="1:20">
      <c r="A551" s="9" t="s">
        <v>680</v>
      </c>
      <c r="B551" s="9"/>
      <c r="C551" s="21" t="s">
        <v>96</v>
      </c>
      <c r="D551" s="15" t="s">
        <v>627</v>
      </c>
      <c r="E551" s="26" t="s">
        <v>85</v>
      </c>
      <c r="F551" s="15" t="str">
        <f>IF(Tabla15[[#This Row],[Columna1]]="","actividad","subactividad")</f>
        <v>actividad</v>
      </c>
      <c r="G551" s="16" t="s">
        <v>32</v>
      </c>
      <c r="H551" s="19">
        <f t="shared" si="52"/>
        <v>46306</v>
      </c>
      <c r="I551" s="19">
        <f>IF(Tabla15[[#This Row],[Duracion ideal (dia)]]="",I550,Tabla15[[#This Row],[Inicio ideal]]+Tabla15[[#This Row],[Duracion ideal (dia)]])</f>
        <v>46310</v>
      </c>
      <c r="J551" s="16">
        <v>4</v>
      </c>
      <c r="K551" s="19">
        <f>IF(Tabla15[[#This Row],[Duracion Real (dia)]]="",K550,L550)</f>
        <v>46317</v>
      </c>
      <c r="L551" s="19">
        <f>IF(Tabla15[[#This Row],[Duracion Real (dia)]]="",L550,Tabla15[[#This Row],[Inicio Real]]+Tabla15[[#This Row],[Duracion Real (dia)]])</f>
        <v>46321</v>
      </c>
      <c r="M551" s="16">
        <v>4</v>
      </c>
      <c r="N551" s="19" t="s">
        <v>160</v>
      </c>
      <c r="O551" s="13">
        <v>1502885.98</v>
      </c>
      <c r="P551" s="13">
        <v>4615.3999999999996</v>
      </c>
      <c r="Q551" s="13">
        <v>1507501.38</v>
      </c>
      <c r="R551" s="13">
        <v>1508424.46</v>
      </c>
      <c r="S551" s="13">
        <v>1953751.774</v>
      </c>
      <c r="T551" s="13">
        <v>1953751.774</v>
      </c>
    </row>
    <row r="552" spans="1:20" hidden="1">
      <c r="A552" s="9" t="str">
        <f>CONCATENATE($A$551,".",B552)</f>
        <v>4.2.2.1</v>
      </c>
      <c r="B552" s="9">
        <f>IF(B551=" ",1,B551+1)</f>
        <v>1</v>
      </c>
      <c r="C552" s="10" t="s">
        <v>97</v>
      </c>
      <c r="D552" s="11" t="s">
        <v>627</v>
      </c>
      <c r="E552" s="26" t="s">
        <v>85</v>
      </c>
      <c r="F552" s="15" t="str">
        <f>IF(Tabla15[[#This Row],[Columna1]]="","actividad","subactividad")</f>
        <v>subactividad</v>
      </c>
      <c r="G552" s="12"/>
      <c r="H552" s="19">
        <f t="shared" si="52"/>
        <v>46310</v>
      </c>
      <c r="I552" s="19">
        <f>IF(Tabla15[[#This Row],[Duracion ideal (dia)]]="",I551,Tabla15[[#This Row],[Inicio ideal]]+Tabla15[[#This Row],[Duracion ideal (dia)]])</f>
        <v>46310</v>
      </c>
      <c r="J552" s="12"/>
      <c r="K552" s="19">
        <f>IF(Tabla15[[#This Row],[Duracion Real (dia)]]="",K551,L551)</f>
        <v>46317</v>
      </c>
      <c r="L552" s="19">
        <f>IF(Tabla15[[#This Row],[Duracion Real (dia)]]="",L551,Tabla15[[#This Row],[Inicio Real]]+Tabla15[[#This Row],[Duracion Real (dia)]])</f>
        <v>46321</v>
      </c>
      <c r="M552" s="12"/>
      <c r="N552" s="19" t="s">
        <v>35</v>
      </c>
      <c r="O552" s="13" t="s">
        <v>35</v>
      </c>
      <c r="P552" s="13" t="s">
        <v>35</v>
      </c>
      <c r="Q552" s="13" t="s">
        <v>35</v>
      </c>
      <c r="R552" s="13" t="s">
        <v>35</v>
      </c>
      <c r="S552" s="13" t="s">
        <v>35</v>
      </c>
      <c r="T552" s="13" t="s">
        <v>35</v>
      </c>
    </row>
    <row r="553" spans="1:20" hidden="1">
      <c r="A553" s="9" t="str">
        <f>CONCATENATE($A$551,".",B553)</f>
        <v>4.2.2.2</v>
      </c>
      <c r="B553" s="9">
        <f>IF(B552=" ",1,B552+1)</f>
        <v>2</v>
      </c>
      <c r="C553" s="20" t="s">
        <v>98</v>
      </c>
      <c r="D553" s="15" t="s">
        <v>627</v>
      </c>
      <c r="E553" s="26" t="s">
        <v>85</v>
      </c>
      <c r="F553" s="15" t="str">
        <f>IF(Tabla15[[#This Row],[Columna1]]="","actividad","subactividad")</f>
        <v>subactividad</v>
      </c>
      <c r="G553" s="16"/>
      <c r="H553" s="19">
        <f t="shared" si="52"/>
        <v>46310</v>
      </c>
      <c r="I553" s="19">
        <f>IF(Tabla15[[#This Row],[Duracion ideal (dia)]]="",I552,Tabla15[[#This Row],[Inicio ideal]]+Tabla15[[#This Row],[Duracion ideal (dia)]])</f>
        <v>46310</v>
      </c>
      <c r="J553" s="16"/>
      <c r="K553" s="19">
        <f>IF(Tabla15[[#This Row],[Duracion Real (dia)]]="",K552,L552)</f>
        <v>46317</v>
      </c>
      <c r="L553" s="19">
        <f>IF(Tabla15[[#This Row],[Duracion Real (dia)]]="",L552,Tabla15[[#This Row],[Inicio Real]]+Tabla15[[#This Row],[Duracion Real (dia)]])</f>
        <v>46321</v>
      </c>
      <c r="M553" s="16"/>
      <c r="N553" s="19" t="s">
        <v>35</v>
      </c>
      <c r="O553" s="13" t="s">
        <v>35</v>
      </c>
      <c r="P553" s="13" t="s">
        <v>35</v>
      </c>
      <c r="Q553" s="13" t="s">
        <v>35</v>
      </c>
      <c r="R553" s="13" t="s">
        <v>35</v>
      </c>
      <c r="S553" s="13" t="s">
        <v>35</v>
      </c>
      <c r="T553" s="13" t="s">
        <v>35</v>
      </c>
    </row>
    <row r="554" spans="1:20" hidden="1">
      <c r="A554" s="9" t="str">
        <f>CONCATENATE($A$551,".",B554)</f>
        <v>4.2.2.3</v>
      </c>
      <c r="B554" s="9">
        <f>IF(B553=" ",1,B553+1)</f>
        <v>3</v>
      </c>
      <c r="C554" s="10" t="s">
        <v>99</v>
      </c>
      <c r="D554" s="11" t="s">
        <v>627</v>
      </c>
      <c r="E554" s="26" t="s">
        <v>85</v>
      </c>
      <c r="F554" s="15" t="str">
        <f>IF(Tabla15[[#This Row],[Columna1]]="","actividad","subactividad")</f>
        <v>subactividad</v>
      </c>
      <c r="G554" s="12"/>
      <c r="H554" s="19">
        <f t="shared" ref="H554:H569" si="56">I553</f>
        <v>46310</v>
      </c>
      <c r="I554" s="19">
        <f>IF(Tabla15[[#This Row],[Duracion ideal (dia)]]="",I553,Tabla15[[#This Row],[Inicio ideal]]+Tabla15[[#This Row],[Duracion ideal (dia)]])</f>
        <v>46310</v>
      </c>
      <c r="J554" s="12"/>
      <c r="K554" s="19">
        <f>IF(Tabla15[[#This Row],[Duracion Real (dia)]]="",K553,L553)</f>
        <v>46317</v>
      </c>
      <c r="L554" s="19">
        <f>IF(Tabla15[[#This Row],[Duracion Real (dia)]]="",L553,Tabla15[[#This Row],[Inicio Real]]+Tabla15[[#This Row],[Duracion Real (dia)]])</f>
        <v>46321</v>
      </c>
      <c r="M554" s="12"/>
      <c r="N554" s="19" t="s">
        <v>35</v>
      </c>
      <c r="O554" s="13" t="s">
        <v>35</v>
      </c>
      <c r="P554" s="13" t="s">
        <v>35</v>
      </c>
      <c r="Q554" s="13" t="s">
        <v>35</v>
      </c>
      <c r="R554" s="13" t="s">
        <v>35</v>
      </c>
      <c r="S554" s="13" t="s">
        <v>35</v>
      </c>
      <c r="T554" s="13" t="s">
        <v>35</v>
      </c>
    </row>
    <row r="555" spans="1:20" hidden="1">
      <c r="A555" s="9" t="str">
        <f>CONCATENATE($A$551,".",B555)</f>
        <v>4.2.2.4</v>
      </c>
      <c r="B555" s="9">
        <f>IF(B554=" ",1,B554+1)</f>
        <v>4</v>
      </c>
      <c r="C555" s="20" t="s">
        <v>100</v>
      </c>
      <c r="D555" s="15" t="s">
        <v>627</v>
      </c>
      <c r="E555" s="26" t="s">
        <v>85</v>
      </c>
      <c r="F555" s="15" t="str">
        <f>IF(Tabla15[[#This Row],[Columna1]]="","actividad","subactividad")</f>
        <v>subactividad</v>
      </c>
      <c r="G555" s="16"/>
      <c r="H555" s="19">
        <f t="shared" si="56"/>
        <v>46310</v>
      </c>
      <c r="I555" s="19">
        <f>IF(Tabla15[[#This Row],[Duracion ideal (dia)]]="",I554,Tabla15[[#This Row],[Inicio ideal]]+Tabla15[[#This Row],[Duracion ideal (dia)]])</f>
        <v>46310</v>
      </c>
      <c r="J555" s="16"/>
      <c r="K555" s="19">
        <f>IF(Tabla15[[#This Row],[Duracion Real (dia)]]="",K554,L554)</f>
        <v>46317</v>
      </c>
      <c r="L555" s="19">
        <f>IF(Tabla15[[#This Row],[Duracion Real (dia)]]="",L554,Tabla15[[#This Row],[Inicio Real]]+Tabla15[[#This Row],[Duracion Real (dia)]])</f>
        <v>46321</v>
      </c>
      <c r="M555" s="16"/>
      <c r="N555" s="19" t="s">
        <v>35</v>
      </c>
      <c r="O555" s="13" t="s">
        <v>35</v>
      </c>
      <c r="P555" s="13" t="s">
        <v>35</v>
      </c>
      <c r="Q555" s="13" t="s">
        <v>35</v>
      </c>
      <c r="R555" s="13" t="s">
        <v>35</v>
      </c>
      <c r="S555" s="13" t="s">
        <v>35</v>
      </c>
      <c r="T555" s="13" t="s">
        <v>35</v>
      </c>
    </row>
    <row r="556" spans="1:20" hidden="1">
      <c r="A556" s="9" t="str">
        <f>CONCATENATE($A$551,".",B556)</f>
        <v>4.2.2.5</v>
      </c>
      <c r="B556" s="9">
        <f>IF(B555=" ",1,B555+1)</f>
        <v>5</v>
      </c>
      <c r="C556" s="10" t="s">
        <v>101</v>
      </c>
      <c r="D556" s="11" t="s">
        <v>627</v>
      </c>
      <c r="E556" s="26" t="s">
        <v>85</v>
      </c>
      <c r="F556" s="15" t="str">
        <f>IF(Tabla15[[#This Row],[Columna1]]="","actividad","subactividad")</f>
        <v>subactividad</v>
      </c>
      <c r="G556" s="12"/>
      <c r="H556" s="19">
        <f t="shared" si="56"/>
        <v>46310</v>
      </c>
      <c r="I556" s="19">
        <f>IF(Tabla15[[#This Row],[Duracion ideal (dia)]]="",I555,Tabla15[[#This Row],[Inicio ideal]]+Tabla15[[#This Row],[Duracion ideal (dia)]])</f>
        <v>46310</v>
      </c>
      <c r="J556" s="12"/>
      <c r="K556" s="19">
        <f>IF(Tabla15[[#This Row],[Duracion Real (dia)]]="",K555,L555)</f>
        <v>46317</v>
      </c>
      <c r="L556" s="19">
        <f>IF(Tabla15[[#This Row],[Duracion Real (dia)]]="",L555,Tabla15[[#This Row],[Inicio Real]]+Tabla15[[#This Row],[Duracion Real (dia)]])</f>
        <v>46321</v>
      </c>
      <c r="M556" s="12"/>
      <c r="N556" s="19" t="s">
        <v>35</v>
      </c>
      <c r="O556" s="13" t="s">
        <v>35</v>
      </c>
      <c r="P556" s="13" t="s">
        <v>35</v>
      </c>
      <c r="Q556" s="13" t="s">
        <v>35</v>
      </c>
      <c r="R556" s="13" t="s">
        <v>35</v>
      </c>
      <c r="S556" s="13" t="s">
        <v>35</v>
      </c>
      <c r="T556" s="13" t="s">
        <v>35</v>
      </c>
    </row>
    <row r="557" spans="1:20">
      <c r="A557" s="9" t="s">
        <v>681</v>
      </c>
      <c r="B557" s="9"/>
      <c r="C557" s="21" t="s">
        <v>103</v>
      </c>
      <c r="D557" s="15" t="s">
        <v>627</v>
      </c>
      <c r="E557" s="26" t="s">
        <v>85</v>
      </c>
      <c r="F557" s="15" t="str">
        <f>IF(Tabla15[[#This Row],[Columna1]]="","actividad","subactividad")</f>
        <v>actividad</v>
      </c>
      <c r="G557" s="16" t="s">
        <v>32</v>
      </c>
      <c r="H557" s="19">
        <f t="shared" si="56"/>
        <v>46310</v>
      </c>
      <c r="I557" s="19">
        <f>IF(Tabla15[[#This Row],[Duracion ideal (dia)]]="",I556,Tabla15[[#This Row],[Inicio ideal]]+Tabla15[[#This Row],[Duracion ideal (dia)]])</f>
        <v>46316</v>
      </c>
      <c r="J557" s="16">
        <v>6</v>
      </c>
      <c r="K557" s="19">
        <f>IF(Tabla15[[#This Row],[Duracion Real (dia)]]="",K556,L556)</f>
        <v>46321</v>
      </c>
      <c r="L557" s="19">
        <f>IF(Tabla15[[#This Row],[Duracion Real (dia)]]="",L556,Tabla15[[#This Row],[Inicio Real]]+Tabla15[[#This Row],[Duracion Real (dia)]])</f>
        <v>46324</v>
      </c>
      <c r="M557" s="16">
        <v>3</v>
      </c>
      <c r="N557" s="19" t="s">
        <v>33</v>
      </c>
      <c r="O557" s="13">
        <v>1502885.98</v>
      </c>
      <c r="P557" s="13">
        <v>9692.2800000000007</v>
      </c>
      <c r="Q557" s="13">
        <v>1512578.26</v>
      </c>
      <c r="R557" s="13">
        <v>1510362.88</v>
      </c>
      <c r="S557" s="13">
        <v>1953751.774</v>
      </c>
      <c r="T557" s="13">
        <v>1953751.774</v>
      </c>
    </row>
    <row r="558" spans="1:20" hidden="1">
      <c r="A558" s="9" t="str">
        <f>CONCATENATE($A$557,".",B558)</f>
        <v>4.2.3.1</v>
      </c>
      <c r="B558" s="9">
        <f t="shared" ref="B558:B569" si="57">IF(B557=" ",1,B557+1)</f>
        <v>1</v>
      </c>
      <c r="C558" s="10" t="s">
        <v>104</v>
      </c>
      <c r="D558" s="11" t="s">
        <v>627</v>
      </c>
      <c r="E558" s="26" t="s">
        <v>85</v>
      </c>
      <c r="F558" s="15" t="str">
        <f>IF(Tabla15[[#This Row],[Columna1]]="","actividad","subactividad")</f>
        <v>subactividad</v>
      </c>
      <c r="G558" s="12"/>
      <c r="H558" s="19">
        <f t="shared" si="56"/>
        <v>46316</v>
      </c>
      <c r="I558" s="19">
        <f>IF(Tabla15[[#This Row],[Duracion ideal (dia)]]="",I557,Tabla15[[#This Row],[Inicio ideal]]+Tabla15[[#This Row],[Duracion ideal (dia)]])</f>
        <v>46316</v>
      </c>
      <c r="J558" s="12"/>
      <c r="K558" s="19">
        <f>IF(Tabla15[[#This Row],[Duracion Real (dia)]]="",K557,L557)</f>
        <v>46321</v>
      </c>
      <c r="L558" s="19">
        <f>IF(Tabla15[[#This Row],[Duracion Real (dia)]]="",L557,Tabla15[[#This Row],[Inicio Real]]+Tabla15[[#This Row],[Duracion Real (dia)]])</f>
        <v>46324</v>
      </c>
      <c r="M558" s="12"/>
      <c r="N558" s="19" t="s">
        <v>35</v>
      </c>
      <c r="O558" s="13" t="s">
        <v>35</v>
      </c>
      <c r="P558" s="13" t="s">
        <v>35</v>
      </c>
      <c r="Q558" s="13" t="s">
        <v>35</v>
      </c>
      <c r="R558" s="13" t="s">
        <v>35</v>
      </c>
      <c r="S558" s="13" t="s">
        <v>35</v>
      </c>
      <c r="T558" s="13" t="s">
        <v>35</v>
      </c>
    </row>
    <row r="559" spans="1:20" hidden="1">
      <c r="A559" s="9" t="str">
        <f>CONCATENATE($A$557,".",B559)</f>
        <v>4.2.3.2</v>
      </c>
      <c r="B559" s="9">
        <f t="shared" si="57"/>
        <v>2</v>
      </c>
      <c r="C559" s="20" t="s">
        <v>105</v>
      </c>
      <c r="D559" s="15" t="s">
        <v>627</v>
      </c>
      <c r="E559" s="26" t="s">
        <v>85</v>
      </c>
      <c r="F559" s="15" t="str">
        <f>IF(Tabla15[[#This Row],[Columna1]]="","actividad","subactividad")</f>
        <v>subactividad</v>
      </c>
      <c r="G559" s="16"/>
      <c r="H559" s="19">
        <f t="shared" si="56"/>
        <v>46316</v>
      </c>
      <c r="I559" s="19">
        <f>IF(Tabla15[[#This Row],[Duracion ideal (dia)]]="",I558,Tabla15[[#This Row],[Inicio ideal]]+Tabla15[[#This Row],[Duracion ideal (dia)]])</f>
        <v>46316</v>
      </c>
      <c r="J559" s="16"/>
      <c r="K559" s="19">
        <f>IF(Tabla15[[#This Row],[Duracion Real (dia)]]="",K558,L558)</f>
        <v>46321</v>
      </c>
      <c r="L559" s="19">
        <f>IF(Tabla15[[#This Row],[Duracion Real (dia)]]="",L558,Tabla15[[#This Row],[Inicio Real]]+Tabla15[[#This Row],[Duracion Real (dia)]])</f>
        <v>46324</v>
      </c>
      <c r="M559" s="16"/>
      <c r="N559" s="19" t="s">
        <v>35</v>
      </c>
      <c r="O559" s="13" t="s">
        <v>35</v>
      </c>
      <c r="P559" s="13" t="s">
        <v>35</v>
      </c>
      <c r="Q559" s="13" t="s">
        <v>35</v>
      </c>
      <c r="R559" s="13" t="s">
        <v>35</v>
      </c>
      <c r="S559" s="13" t="s">
        <v>35</v>
      </c>
      <c r="T559" s="13" t="s">
        <v>35</v>
      </c>
    </row>
    <row r="560" spans="1:20" hidden="1">
      <c r="A560" s="9" t="str">
        <f>CONCATENATE($A$557,".",B560)</f>
        <v>4.2.3.3</v>
      </c>
      <c r="B560" s="9">
        <f t="shared" si="57"/>
        <v>3</v>
      </c>
      <c r="C560" s="10" t="s">
        <v>106</v>
      </c>
      <c r="D560" s="11" t="s">
        <v>627</v>
      </c>
      <c r="E560" s="26" t="s">
        <v>85</v>
      </c>
      <c r="F560" s="15" t="str">
        <f>IF(Tabla15[[#This Row],[Columna1]]="","actividad","subactividad")</f>
        <v>subactividad</v>
      </c>
      <c r="G560" s="12"/>
      <c r="H560" s="19">
        <f t="shared" si="56"/>
        <v>46316</v>
      </c>
      <c r="I560" s="19">
        <f>IF(Tabla15[[#This Row],[Duracion ideal (dia)]]="",I559,Tabla15[[#This Row],[Inicio ideal]]+Tabla15[[#This Row],[Duracion ideal (dia)]])</f>
        <v>46316</v>
      </c>
      <c r="J560" s="12"/>
      <c r="K560" s="19">
        <f>IF(Tabla15[[#This Row],[Duracion Real (dia)]]="",K559,L559)</f>
        <v>46321</v>
      </c>
      <c r="L560" s="19">
        <f>IF(Tabla15[[#This Row],[Duracion Real (dia)]]="",L559,Tabla15[[#This Row],[Inicio Real]]+Tabla15[[#This Row],[Duracion Real (dia)]])</f>
        <v>46324</v>
      </c>
      <c r="M560" s="12"/>
      <c r="N560" s="19" t="s">
        <v>35</v>
      </c>
      <c r="O560" s="13" t="s">
        <v>35</v>
      </c>
      <c r="P560" s="13" t="s">
        <v>35</v>
      </c>
      <c r="Q560" s="13" t="s">
        <v>35</v>
      </c>
      <c r="R560" s="13" t="s">
        <v>35</v>
      </c>
      <c r="S560" s="13" t="s">
        <v>35</v>
      </c>
      <c r="T560" s="13" t="s">
        <v>35</v>
      </c>
    </row>
    <row r="561" spans="1:20" hidden="1">
      <c r="A561" s="9" t="str">
        <f>CONCATENATE($A$557,".",B561)</f>
        <v>4.2.3.4</v>
      </c>
      <c r="B561" s="9">
        <f t="shared" si="57"/>
        <v>4</v>
      </c>
      <c r="C561" s="20" t="s">
        <v>107</v>
      </c>
      <c r="D561" s="15" t="s">
        <v>627</v>
      </c>
      <c r="E561" s="26" t="s">
        <v>85</v>
      </c>
      <c r="F561" s="15" t="str">
        <f>IF(Tabla15[[#This Row],[Columna1]]="","actividad","subactividad")</f>
        <v>subactividad</v>
      </c>
      <c r="G561" s="16"/>
      <c r="H561" s="19">
        <f t="shared" si="56"/>
        <v>46316</v>
      </c>
      <c r="I561" s="19">
        <f>IF(Tabla15[[#This Row],[Duracion ideal (dia)]]="",I560,Tabla15[[#This Row],[Inicio ideal]]+Tabla15[[#This Row],[Duracion ideal (dia)]])</f>
        <v>46316</v>
      </c>
      <c r="J561" s="16"/>
      <c r="K561" s="19">
        <f>IF(Tabla15[[#This Row],[Duracion Real (dia)]]="",K560,L560)</f>
        <v>46321</v>
      </c>
      <c r="L561" s="19">
        <f>IF(Tabla15[[#This Row],[Duracion Real (dia)]]="",L560,Tabla15[[#This Row],[Inicio Real]]+Tabla15[[#This Row],[Duracion Real (dia)]])</f>
        <v>46324</v>
      </c>
      <c r="M561" s="16"/>
      <c r="N561" s="19" t="s">
        <v>35</v>
      </c>
      <c r="O561" s="13" t="s">
        <v>35</v>
      </c>
      <c r="P561" s="13" t="s">
        <v>35</v>
      </c>
      <c r="Q561" s="13" t="s">
        <v>35</v>
      </c>
      <c r="R561" s="13" t="s">
        <v>35</v>
      </c>
      <c r="S561" s="13" t="s">
        <v>35</v>
      </c>
      <c r="T561" s="13" t="s">
        <v>35</v>
      </c>
    </row>
    <row r="562" spans="1:20" hidden="1">
      <c r="A562" s="9" t="str">
        <f>CONCATENATE($A$557,".",B562)</f>
        <v>4.2.3.5</v>
      </c>
      <c r="B562" s="9">
        <f t="shared" si="57"/>
        <v>5</v>
      </c>
      <c r="C562" s="10" t="s">
        <v>108</v>
      </c>
      <c r="D562" s="11" t="s">
        <v>627</v>
      </c>
      <c r="E562" s="26" t="s">
        <v>85</v>
      </c>
      <c r="F562" s="15" t="str">
        <f>IF(Tabla15[[#This Row],[Columna1]]="","actividad","subactividad")</f>
        <v>subactividad</v>
      </c>
      <c r="G562" s="12"/>
      <c r="H562" s="19">
        <f t="shared" si="56"/>
        <v>46316</v>
      </c>
      <c r="I562" s="19">
        <f>IF(Tabla15[[#This Row],[Duracion ideal (dia)]]="",I561,Tabla15[[#This Row],[Inicio ideal]]+Tabla15[[#This Row],[Duracion ideal (dia)]])</f>
        <v>46316</v>
      </c>
      <c r="J562" s="12"/>
      <c r="K562" s="19">
        <f>IF(Tabla15[[#This Row],[Duracion Real (dia)]]="",K561,L561)</f>
        <v>46321</v>
      </c>
      <c r="L562" s="19">
        <f>IF(Tabla15[[#This Row],[Duracion Real (dia)]]="",L561,Tabla15[[#This Row],[Inicio Real]]+Tabla15[[#This Row],[Duracion Real (dia)]])</f>
        <v>46324</v>
      </c>
      <c r="M562" s="12"/>
      <c r="N562" s="19" t="s">
        <v>35</v>
      </c>
      <c r="O562" s="13" t="s">
        <v>35</v>
      </c>
      <c r="P562" s="13" t="s">
        <v>35</v>
      </c>
      <c r="Q562" s="13" t="s">
        <v>35</v>
      </c>
      <c r="R562" s="13" t="s">
        <v>35</v>
      </c>
      <c r="S562" s="13" t="s">
        <v>35</v>
      </c>
      <c r="T562" s="13" t="s">
        <v>35</v>
      </c>
    </row>
    <row r="563" spans="1:20" hidden="1">
      <c r="A563" s="9" t="s">
        <v>682</v>
      </c>
      <c r="B563" s="9">
        <f t="shared" si="57"/>
        <v>6</v>
      </c>
      <c r="C563" s="17" t="s">
        <v>683</v>
      </c>
      <c r="D563" s="15" t="s">
        <v>627</v>
      </c>
      <c r="E563" s="15" t="s">
        <v>111</v>
      </c>
      <c r="F563" s="15" t="str">
        <f>IF(Tabla15[[#This Row],[Columna1]]="","actividad","subactividad")</f>
        <v>subactividad</v>
      </c>
      <c r="G563" s="16"/>
      <c r="H563" s="19">
        <f t="shared" si="56"/>
        <v>46316</v>
      </c>
      <c r="I563" s="19">
        <f>IF(Tabla15[[#This Row],[Duracion ideal (dia)]]="",I562,Tabla15[[#This Row],[Inicio ideal]]+Tabla15[[#This Row],[Duracion ideal (dia)]])</f>
        <v>46316</v>
      </c>
      <c r="J563" s="16"/>
      <c r="K563" s="19">
        <f>IF(Tabla15[[#This Row],[Duracion Real (dia)]]="",K562,L562)</f>
        <v>46321</v>
      </c>
      <c r="L563" s="19">
        <f>IF(Tabla15[[#This Row],[Duracion Real (dia)]]="",L562,Tabla15[[#This Row],[Inicio Real]]+Tabla15[[#This Row],[Duracion Real (dia)]])</f>
        <v>46324</v>
      </c>
      <c r="M563" s="16"/>
      <c r="N563" s="19" t="s">
        <v>35</v>
      </c>
      <c r="O563" s="13" t="s">
        <v>35</v>
      </c>
      <c r="P563" s="13" t="s">
        <v>35</v>
      </c>
      <c r="Q563" s="13" t="s">
        <v>35</v>
      </c>
      <c r="R563" s="13" t="s">
        <v>35</v>
      </c>
      <c r="S563" s="13" t="s">
        <v>35</v>
      </c>
      <c r="T563" s="13" t="s">
        <v>35</v>
      </c>
    </row>
    <row r="564" spans="1:20" hidden="1">
      <c r="A564" s="9" t="s">
        <v>684</v>
      </c>
      <c r="B564" s="9">
        <f t="shared" si="57"/>
        <v>7</v>
      </c>
      <c r="C564" s="27" t="s">
        <v>685</v>
      </c>
      <c r="D564" s="11" t="s">
        <v>627</v>
      </c>
      <c r="E564" s="11" t="s">
        <v>111</v>
      </c>
      <c r="F564" s="15" t="str">
        <f>IF(Tabla15[[#This Row],[Columna1]]="","actividad","subactividad")</f>
        <v>subactividad</v>
      </c>
      <c r="G564" s="12"/>
      <c r="H564" s="19">
        <f t="shared" si="56"/>
        <v>46316</v>
      </c>
      <c r="I564" s="19">
        <f>IF(Tabla15[[#This Row],[Duracion ideal (dia)]]="",I563,Tabla15[[#This Row],[Inicio ideal]]+Tabla15[[#This Row],[Duracion ideal (dia)]])</f>
        <v>46316</v>
      </c>
      <c r="J564" s="12"/>
      <c r="K564" s="19">
        <f>IF(Tabla15[[#This Row],[Duracion Real (dia)]]="",K563,L563)</f>
        <v>46321</v>
      </c>
      <c r="L564" s="19">
        <f>IF(Tabla15[[#This Row],[Duracion Real (dia)]]="",L563,Tabla15[[#This Row],[Inicio Real]]+Tabla15[[#This Row],[Duracion Real (dia)]])</f>
        <v>46324</v>
      </c>
      <c r="M564" s="12"/>
      <c r="N564" s="19" t="s">
        <v>35</v>
      </c>
      <c r="O564" s="13" t="s">
        <v>35</v>
      </c>
      <c r="P564" s="13" t="s">
        <v>35</v>
      </c>
      <c r="Q564" s="13" t="s">
        <v>35</v>
      </c>
      <c r="R564" s="13" t="s">
        <v>35</v>
      </c>
      <c r="S564" s="13" t="s">
        <v>35</v>
      </c>
      <c r="T564" s="13" t="s">
        <v>35</v>
      </c>
    </row>
    <row r="565" spans="1:20" hidden="1">
      <c r="A565" s="9" t="str">
        <f>CONCATENATE($A$564,".",B565)</f>
        <v>4.3.1.8</v>
      </c>
      <c r="B565" s="9">
        <f t="shared" si="57"/>
        <v>8</v>
      </c>
      <c r="C565" s="28" t="s">
        <v>686</v>
      </c>
      <c r="D565" s="15" t="s">
        <v>627</v>
      </c>
      <c r="E565" s="15" t="s">
        <v>111</v>
      </c>
      <c r="F565" s="15" t="str">
        <f>IF(Tabla15[[#This Row],[Columna1]]="","actividad","subactividad")</f>
        <v>subactividad</v>
      </c>
      <c r="G565" s="16"/>
      <c r="H565" s="19">
        <f t="shared" si="56"/>
        <v>46316</v>
      </c>
      <c r="I565" s="19">
        <f>IF(Tabla15[[#This Row],[Duracion ideal (dia)]]="",I564,Tabla15[[#This Row],[Inicio ideal]]+Tabla15[[#This Row],[Duracion ideal (dia)]])</f>
        <v>46316</v>
      </c>
      <c r="J565" s="16"/>
      <c r="K565" s="19">
        <f>IF(Tabla15[[#This Row],[Duracion Real (dia)]]="",K564,L564)</f>
        <v>46321</v>
      </c>
      <c r="L565" s="19">
        <f>IF(Tabla15[[#This Row],[Duracion Real (dia)]]="",L564,Tabla15[[#This Row],[Inicio Real]]+Tabla15[[#This Row],[Duracion Real (dia)]])</f>
        <v>46324</v>
      </c>
      <c r="M565" s="16"/>
      <c r="N565" s="19" t="s">
        <v>35</v>
      </c>
      <c r="O565" s="13" t="s">
        <v>35</v>
      </c>
      <c r="P565" s="13" t="s">
        <v>35</v>
      </c>
      <c r="Q565" s="13" t="s">
        <v>35</v>
      </c>
      <c r="R565" s="13" t="s">
        <v>35</v>
      </c>
      <c r="S565" s="13" t="s">
        <v>35</v>
      </c>
      <c r="T565" s="13" t="s">
        <v>35</v>
      </c>
    </row>
    <row r="566" spans="1:20" hidden="1">
      <c r="A566" s="9" t="str">
        <f>CONCATENATE($A$564,".",B566)</f>
        <v>4.3.1.9</v>
      </c>
      <c r="B566" s="9">
        <f t="shared" si="57"/>
        <v>9</v>
      </c>
      <c r="C566" s="29" t="s">
        <v>687</v>
      </c>
      <c r="D566" s="11" t="s">
        <v>627</v>
      </c>
      <c r="E566" s="11" t="s">
        <v>111</v>
      </c>
      <c r="F566" s="15" t="str">
        <f>IF(Tabla15[[#This Row],[Columna1]]="","actividad","subactividad")</f>
        <v>subactividad</v>
      </c>
      <c r="G566" s="12"/>
      <c r="H566" s="19">
        <f t="shared" si="56"/>
        <v>46316</v>
      </c>
      <c r="I566" s="19">
        <f>IF(Tabla15[[#This Row],[Duracion ideal (dia)]]="",I565,Tabla15[[#This Row],[Inicio ideal]]+Tabla15[[#This Row],[Duracion ideal (dia)]])</f>
        <v>46316</v>
      </c>
      <c r="J566" s="12"/>
      <c r="K566" s="19">
        <f>IF(Tabla15[[#This Row],[Duracion Real (dia)]]="",K565,L565)</f>
        <v>46321</v>
      </c>
      <c r="L566" s="19">
        <f>IF(Tabla15[[#This Row],[Duracion Real (dia)]]="",L565,Tabla15[[#This Row],[Inicio Real]]+Tabla15[[#This Row],[Duracion Real (dia)]])</f>
        <v>46324</v>
      </c>
      <c r="M566" s="12"/>
      <c r="N566" s="19" t="s">
        <v>35</v>
      </c>
      <c r="O566" s="13" t="s">
        <v>35</v>
      </c>
      <c r="P566" s="13" t="s">
        <v>35</v>
      </c>
      <c r="Q566" s="13" t="s">
        <v>35</v>
      </c>
      <c r="R566" s="13" t="s">
        <v>35</v>
      </c>
      <c r="S566" s="13" t="s">
        <v>35</v>
      </c>
      <c r="T566" s="13" t="s">
        <v>35</v>
      </c>
    </row>
    <row r="567" spans="1:20" hidden="1">
      <c r="A567" s="9" t="str">
        <f>CONCATENATE($A$564,".",B567)</f>
        <v>4.3.1.10</v>
      </c>
      <c r="B567" s="9">
        <f t="shared" si="57"/>
        <v>10</v>
      </c>
      <c r="C567" s="28" t="s">
        <v>688</v>
      </c>
      <c r="D567" s="15" t="s">
        <v>627</v>
      </c>
      <c r="E567" s="15" t="s">
        <v>111</v>
      </c>
      <c r="F567" s="15" t="str">
        <f>IF(Tabla15[[#This Row],[Columna1]]="","actividad","subactividad")</f>
        <v>subactividad</v>
      </c>
      <c r="G567" s="16"/>
      <c r="H567" s="19">
        <f t="shared" si="56"/>
        <v>46316</v>
      </c>
      <c r="I567" s="19">
        <f>IF(Tabla15[[#This Row],[Duracion ideal (dia)]]="",I566,Tabla15[[#This Row],[Inicio ideal]]+Tabla15[[#This Row],[Duracion ideal (dia)]])</f>
        <v>46316</v>
      </c>
      <c r="J567" s="16"/>
      <c r="K567" s="19">
        <f>IF(Tabla15[[#This Row],[Duracion Real (dia)]]="",K566,L566)</f>
        <v>46321</v>
      </c>
      <c r="L567" s="19">
        <f>IF(Tabla15[[#This Row],[Duracion Real (dia)]]="",L566,Tabla15[[#This Row],[Inicio Real]]+Tabla15[[#This Row],[Duracion Real (dia)]])</f>
        <v>46324</v>
      </c>
      <c r="M567" s="16"/>
      <c r="N567" s="19" t="s">
        <v>35</v>
      </c>
      <c r="O567" s="13" t="s">
        <v>35</v>
      </c>
      <c r="P567" s="13" t="s">
        <v>35</v>
      </c>
      <c r="Q567" s="13" t="s">
        <v>35</v>
      </c>
      <c r="R567" s="13" t="s">
        <v>35</v>
      </c>
      <c r="S567" s="13" t="s">
        <v>35</v>
      </c>
      <c r="T567" s="13" t="s">
        <v>35</v>
      </c>
    </row>
    <row r="568" spans="1:20" hidden="1">
      <c r="A568" s="9" t="str">
        <f>CONCATENATE($A$564,".",B568)</f>
        <v>4.3.1.11</v>
      </c>
      <c r="B568" s="9">
        <f t="shared" si="57"/>
        <v>11</v>
      </c>
      <c r="C568" s="29" t="s">
        <v>689</v>
      </c>
      <c r="D568" s="11" t="s">
        <v>627</v>
      </c>
      <c r="E568" s="11" t="s">
        <v>111</v>
      </c>
      <c r="F568" s="15" t="str">
        <f>IF(Tabla15[[#This Row],[Columna1]]="","actividad","subactividad")</f>
        <v>subactividad</v>
      </c>
      <c r="G568" s="12"/>
      <c r="H568" s="19">
        <f t="shared" si="56"/>
        <v>46316</v>
      </c>
      <c r="I568" s="19">
        <f>IF(Tabla15[[#This Row],[Duracion ideal (dia)]]="",I567,Tabla15[[#This Row],[Inicio ideal]]+Tabla15[[#This Row],[Duracion ideal (dia)]])</f>
        <v>46316</v>
      </c>
      <c r="J568" s="12"/>
      <c r="K568" s="19">
        <f>IF(Tabla15[[#This Row],[Duracion Real (dia)]]="",K567,L567)</f>
        <v>46321</v>
      </c>
      <c r="L568" s="19">
        <f>IF(Tabla15[[#This Row],[Duracion Real (dia)]]="",L567,Tabla15[[#This Row],[Inicio Real]]+Tabla15[[#This Row],[Duracion Real (dia)]])</f>
        <v>46324</v>
      </c>
      <c r="M568" s="12"/>
      <c r="N568" s="19" t="s">
        <v>35</v>
      </c>
      <c r="O568" s="13" t="s">
        <v>35</v>
      </c>
      <c r="P568" s="13" t="s">
        <v>35</v>
      </c>
      <c r="Q568" s="13" t="s">
        <v>35</v>
      </c>
      <c r="R568" s="13" t="s">
        <v>35</v>
      </c>
      <c r="S568" s="13" t="s">
        <v>35</v>
      </c>
      <c r="T568" s="13" t="s">
        <v>35</v>
      </c>
    </row>
    <row r="569" spans="1:20" hidden="1">
      <c r="A569" s="9" t="str">
        <f>CONCATENATE($A$564,".",B569)</f>
        <v>4.3.1.12</v>
      </c>
      <c r="B569" s="9">
        <f t="shared" si="57"/>
        <v>12</v>
      </c>
      <c r="C569" s="28" t="s">
        <v>690</v>
      </c>
      <c r="D569" s="15" t="s">
        <v>627</v>
      </c>
      <c r="E569" s="15" t="s">
        <v>111</v>
      </c>
      <c r="F569" s="15" t="str">
        <f>IF(Tabla15[[#This Row],[Columna1]]="","actividad","subactividad")</f>
        <v>subactividad</v>
      </c>
      <c r="G569" s="16"/>
      <c r="H569" s="19">
        <f t="shared" si="56"/>
        <v>46316</v>
      </c>
      <c r="I569" s="19">
        <f>IF(Tabla15[[#This Row],[Duracion ideal (dia)]]="",I568,Tabla15[[#This Row],[Inicio ideal]]+Tabla15[[#This Row],[Duracion ideal (dia)]])</f>
        <v>46316</v>
      </c>
      <c r="J569" s="16"/>
      <c r="K569" s="19">
        <f>IF(Tabla15[[#This Row],[Duracion Real (dia)]]="",K568,L568)</f>
        <v>46321</v>
      </c>
      <c r="L569" s="19">
        <f>IF(Tabla15[[#This Row],[Duracion Real (dia)]]="",L568,Tabla15[[#This Row],[Inicio Real]]+Tabla15[[#This Row],[Duracion Real (dia)]])</f>
        <v>46324</v>
      </c>
      <c r="M569" s="16"/>
      <c r="N569" s="19" t="s">
        <v>35</v>
      </c>
      <c r="O569" s="13" t="s">
        <v>35</v>
      </c>
      <c r="P569" s="13" t="s">
        <v>35</v>
      </c>
      <c r="Q569" s="13" t="s">
        <v>35</v>
      </c>
      <c r="R569" s="13" t="s">
        <v>35</v>
      </c>
      <c r="S569" s="13" t="s">
        <v>35</v>
      </c>
      <c r="T569" s="13" t="s">
        <v>35</v>
      </c>
    </row>
    <row r="570" spans="1:20">
      <c r="A570" s="30"/>
      <c r="B570" s="31"/>
      <c r="C570" s="32"/>
      <c r="H570" s="34"/>
      <c r="I570" s="34"/>
      <c r="K570" s="34"/>
      <c r="L570" s="34"/>
      <c r="Q570" s="35">
        <f>SUM(Q5:Q569)</f>
        <v>35998155.649999999</v>
      </c>
      <c r="T570" s="35">
        <f>SUM(T5:T569)</f>
        <v>46095035.206999972</v>
      </c>
    </row>
    <row r="571" spans="1:20">
      <c r="L571" s="34"/>
    </row>
  </sheetData>
  <conditionalFormatting sqref="C49:C67 C136:C140 C254:C298 C300:C303 C317:C320 C322:C325 C490:C494">
    <cfRule type="expression" priority="2">
      <formula>"E:E=B:B"</formula>
    </cfRule>
  </conditionalFormatting>
  <conditionalFormatting sqref="C544:C562">
    <cfRule type="expression" priority="1">
      <formula>"E:E=B:B"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38577-c75d-405b-8341-6ee002fd10f3">
      <Terms xmlns="http://schemas.microsoft.com/office/infopath/2007/PartnerControls"/>
    </lcf76f155ced4ddcb4097134ff3c332f>
    <TaxCatchAll xmlns="2236d9cd-653c-46e7-b11b-38e0318339b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29A51BA609764880BB0FC0708A5BFF" ma:contentTypeVersion="11" ma:contentTypeDescription="Crear nuevo documento." ma:contentTypeScope="" ma:versionID="e9b8634b71b187c880a5c9ab738b25c2">
  <xsd:schema xmlns:xsd="http://www.w3.org/2001/XMLSchema" xmlns:xs="http://www.w3.org/2001/XMLSchema" xmlns:p="http://schemas.microsoft.com/office/2006/metadata/properties" xmlns:ns2="75e38577-c75d-405b-8341-6ee002fd10f3" xmlns:ns3="2236d9cd-653c-46e7-b11b-38e0318339ba" targetNamespace="http://schemas.microsoft.com/office/2006/metadata/properties" ma:root="true" ma:fieldsID="4b89395a6150af20748e4a6843b5ab87" ns2:_="" ns3:_="">
    <xsd:import namespace="75e38577-c75d-405b-8341-6ee002fd10f3"/>
    <xsd:import namespace="2236d9cd-653c-46e7-b11b-38e031833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38577-c75d-405b-8341-6ee002fd10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6d9cd-653c-46e7-b11b-38e0318339b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2e8ca2-ee16-4fec-9553-7f7f3c70e82c}" ma:internalName="TaxCatchAll" ma:showField="CatchAllData" ma:web="2236d9cd-653c-46e7-b11b-38e031833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347966-359C-43B9-9CAE-99551F574FD4}"/>
</file>

<file path=customXml/itemProps2.xml><?xml version="1.0" encoding="utf-8"?>
<ds:datastoreItem xmlns:ds="http://schemas.openxmlformats.org/officeDocument/2006/customXml" ds:itemID="{55C2E08B-34D8-4DDE-B227-CDDD5095CBA1}"/>
</file>

<file path=customXml/itemProps3.xml><?xml version="1.0" encoding="utf-8"?>
<ds:datastoreItem xmlns:ds="http://schemas.openxmlformats.org/officeDocument/2006/customXml" ds:itemID="{7E4DD378-1090-4BF7-8A14-E19BE33F2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Alejandro Morales Quiroz</dc:creator>
  <cp:keywords/>
  <dc:description/>
  <cp:lastModifiedBy>Daniel Alejandro Morales Quiroz</cp:lastModifiedBy>
  <cp:revision/>
  <dcterms:created xsi:type="dcterms:W3CDTF">2025-12-06T03:25:24Z</dcterms:created>
  <dcterms:modified xsi:type="dcterms:W3CDTF">2025-12-06T04:16:18Z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e2ef6bee-5715-4cca-8dd1-4645cfb24b78</vt:lpwstr>
  </property>
  <property fmtid="{D5CDD505-2E9C-101B-9397-08002B2CF9AE}" pid="3" name="ContentTypeId">
    <vt:lpwstr>0x010100A529A51BA609764880BB0FC0708A5BFF</vt:lpwstr>
  </property>
  <property fmtid="{D5CDD505-2E9C-101B-9397-08002B2CF9AE}" pid="4" name="MediaServiceImageTags">
    <vt:lpwstr/>
  </property>
</Properties>
</file>