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13_ncr:1_{B32378B0-1BA0-4A60-AAE9-9C216AA239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tilla EVM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4" l="1"/>
  <c r="C33" i="14"/>
  <c r="C32" i="14"/>
  <c r="C31" i="14"/>
  <c r="C30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L22" i="14"/>
  <c r="H22" i="14"/>
  <c r="D20" i="14"/>
  <c r="E20" i="14"/>
  <c r="F20" i="14" s="1"/>
  <c r="G20" i="14" s="1"/>
  <c r="H20" i="14" s="1"/>
  <c r="I20" i="14" s="1"/>
  <c r="J20" i="14" s="1"/>
  <c r="K20" i="14" s="1"/>
  <c r="L20" i="14" s="1"/>
  <c r="M20" i="14" s="1"/>
  <c r="N20" i="14" s="1"/>
  <c r="O20" i="14" s="1"/>
  <c r="E25" i="14"/>
  <c r="F25" i="14" s="1"/>
  <c r="E22" i="14"/>
  <c r="F22" i="14" s="1"/>
  <c r="G22" i="14" s="1"/>
  <c r="D22" i="14"/>
  <c r="G25" i="14" l="1"/>
  <c r="H25" i="14" s="1"/>
  <c r="I25" i="14" s="1"/>
  <c r="J25" i="14" s="1"/>
  <c r="K25" i="14" s="1"/>
  <c r="L25" i="14" s="1"/>
  <c r="M25" i="14" s="1"/>
  <c r="N25" i="14" s="1"/>
  <c r="O25" i="14" s="1"/>
  <c r="I22" i="14"/>
  <c r="J22" i="14" s="1"/>
  <c r="K22" i="14" s="1"/>
  <c r="M22" i="14" s="1"/>
  <c r="N22" i="14" s="1"/>
  <c r="O22" i="14" s="1"/>
  <c r="D25" i="14"/>
</calcChain>
</file>

<file path=xl/sharedStrings.xml><?xml version="1.0" encoding="utf-8"?>
<sst xmlns="http://schemas.openxmlformats.org/spreadsheetml/2006/main" count="52" uniqueCount="52">
  <si>
    <t xml:space="preserve"> </t>
  </si>
  <si>
    <t xml:space="preserve">Valor ganado del trabajo realizado  </t>
  </si>
  <si>
    <t>PV</t>
  </si>
  <si>
    <t>AC</t>
  </si>
  <si>
    <t>EV</t>
  </si>
  <si>
    <t>Valor ganado del trabajo realizado acumulado</t>
  </si>
  <si>
    <t>Valor</t>
  </si>
  <si>
    <t>Mes 1</t>
  </si>
  <si>
    <t>Mes 12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</si>
  <si>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</si>
  <si>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</si>
  <si>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</si>
  <si>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</si>
  <si>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</si>
  <si>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</si>
  <si>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</si>
  <si>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</si>
  <si>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</si>
  <si>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</si>
  <si>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Costo total prespuestado BAC</t>
  </si>
  <si>
    <t>Gestión del Valor Ganado</t>
  </si>
  <si>
    <t>Valor Ganado</t>
  </si>
  <si>
    <t>Proyecto:</t>
  </si>
  <si>
    <t>ID:</t>
  </si>
  <si>
    <t>Fecha de Inicio</t>
  </si>
  <si>
    <t>Fecha Fin:</t>
  </si>
  <si>
    <t>Fecha de Corte:</t>
  </si>
  <si>
    <t>Año</t>
  </si>
  <si>
    <t>Valor Planificado</t>
  </si>
  <si>
    <t>Valor Planificado Acumulado</t>
  </si>
  <si>
    <t>Costo Real</t>
  </si>
  <si>
    <t>Costo Real Acumulado</t>
  </si>
  <si>
    <t>Indices y variaciones</t>
  </si>
  <si>
    <r>
      <t>Variación del costo (CV/Cost Variance) [</t>
    </r>
    <r>
      <rPr>
        <b/>
        <sz val="10"/>
        <color theme="1"/>
        <rFont val="Verdana"/>
        <family val="2"/>
      </rPr>
      <t>CV=EV-AC</t>
    </r>
    <r>
      <rPr>
        <sz val="10"/>
        <color theme="1"/>
        <rFont val="Verdana"/>
        <family val="2"/>
      </rPr>
      <t>]</t>
    </r>
  </si>
  <si>
    <r>
      <t>Índice de desempeño del cronograma del proyecto (SPI/Schedule Performance Index) [</t>
    </r>
    <r>
      <rPr>
        <b/>
        <sz val="10"/>
        <color theme="1"/>
        <rFont val="Verdana"/>
        <family val="2"/>
      </rPr>
      <t>SPI = EV/PV</t>
    </r>
    <r>
      <rPr>
        <sz val="10"/>
        <color theme="1"/>
        <rFont val="Verdana"/>
        <family val="2"/>
      </rPr>
      <t>]</t>
    </r>
  </si>
  <si>
    <t>Porcentaje de avance completado del mes</t>
  </si>
  <si>
    <t>%comp</t>
  </si>
  <si>
    <t>CV positiva, el proyecto ha gastado menos de lo presupuestado</t>
  </si>
  <si>
    <t>CV negativa, el proyecto está sobre gastado</t>
  </si>
  <si>
    <t>SV negativa, el proyecto está retrasado</t>
  </si>
  <si>
    <t>SV positiva, el proyecto está adelantado</t>
  </si>
  <si>
    <t>CPI menor que 1, el proyecto está sobre gastado</t>
  </si>
  <si>
    <t>CPI mayor que 1, el proyecto ha gastado menos de lo presupuestado</t>
  </si>
  <si>
    <t>SPI menor que 1, el proyecto está retrasado</t>
  </si>
  <si>
    <t>SPI mayor que 1, el proyecto está adelantado</t>
  </si>
  <si>
    <r>
      <t>Variación del cronograma (SV/Schedule Variance)                    [</t>
    </r>
    <r>
      <rPr>
        <b/>
        <sz val="10"/>
        <color theme="1"/>
        <rFont val="Verdana"/>
        <family val="2"/>
      </rPr>
      <t>SV=EV-PV</t>
    </r>
    <r>
      <rPr>
        <sz val="10"/>
        <color theme="1"/>
        <rFont val="Verdana"/>
        <family val="2"/>
      </rPr>
      <t>]</t>
    </r>
  </si>
  <si>
    <r>
      <t>Índice de desempeño del costo (CPI/Cost Performance Index)</t>
    </r>
    <r>
      <rPr>
        <b/>
        <sz val="10"/>
        <color theme="1"/>
        <rFont val="Verdana"/>
        <family val="2"/>
      </rPr>
      <t xml:space="preserve"> </t>
    </r>
    <r>
      <rPr>
        <sz val="10"/>
        <color theme="1"/>
        <rFont val="Verdana"/>
        <family val="2"/>
      </rPr>
      <t>[</t>
    </r>
    <r>
      <rPr>
        <b/>
        <sz val="10"/>
        <color theme="1"/>
        <rFont val="Verdana"/>
        <family val="2"/>
      </rPr>
      <t>CPI = EV/AC</t>
    </r>
    <r>
      <rPr>
        <sz val="10"/>
        <color theme="1"/>
        <rFont val="Verdana"/>
        <family val="2"/>
      </rPr>
      <t>]</t>
    </r>
  </si>
  <si>
    <r>
      <t>Estimación a la conclusión (EAC/Estimate at Completion)           [</t>
    </r>
    <r>
      <rPr>
        <b/>
        <sz val="10"/>
        <color theme="1"/>
        <rFont val="Verdana"/>
        <family val="2"/>
      </rPr>
      <t>EAC = BAC/CPI</t>
    </r>
    <r>
      <rPr>
        <sz val="10"/>
        <color theme="1"/>
        <rFont val="Verdana"/>
        <family val="2"/>
      </rPr>
      <t>]</t>
    </r>
  </si>
  <si>
    <t>Pyme Cloud México</t>
  </si>
  <si>
    <t>PMECM</t>
  </si>
  <si>
    <t>22 de diciembre de 2025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</si>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</sst>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164" formatCode="0.0"/>
    <numFmt numFmtId="165" formatCode="0.0000"/>
    <numFmt numFmtId="166" formatCode="_-* #,##0_-;\-* #,##0_-;_-* &quot;-&quot;??_-;_-@_-"/>
    <numFmt numFmtId="167" formatCode="_-&quot;$&quot;* #,##0_-;\-&quot;$&quot;* #,##0_-;_-&quot;$&quot;* &quot;-&quot;??_-;_-@_-"/>
    <numFmt numFmtId="169" formatCode="#,##0_ ;[Red]\-#,##0\ "/>
    <numFmt numFmtId="172" formatCode="dd/mm/yyyy;@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9"/>
      <color theme="1"/>
      <name val="Verdana"/>
      <family val="2"/>
    </font>
    <font>
      <b/>
      <sz val="10"/>
      <color theme="1"/>
      <name val="Trebuchet MS"/>
      <family val="2"/>
    </font>
    <font>
      <sz val="11"/>
      <color theme="1"/>
      <name val="Calibri"/>
      <family val="2"/>
      <scheme val="minor"/>
    </font>
    <font>
      <b/>
      <sz val="9"/>
      <color theme="0"/>
      <name val="Verdana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0"/>
      <color theme="1"/>
      <name val="Verdana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Verdana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horizontal="justify"/>
    </xf>
    <xf numFmtId="0" fontId="3" fillId="0" borderId="0" xfId="0" applyFont="1" applyAlignment="1">
      <alignment horizontal="left" vertical="center"/>
    </xf>
    <xf numFmtId="164" fontId="0" fillId="0" borderId="0" xfId="0" applyNumberFormat="1"/>
    <xf numFmtId="3" fontId="5" fillId="2" borderId="9" xfId="0" applyNumberFormat="1" applyFont="1" applyFill="1" applyBorder="1" applyAlignment="1">
      <alignment horizontal="center" vertical="top" wrapText="1"/>
    </xf>
    <xf numFmtId="3" fontId="5" fillId="2" borderId="10" xfId="0" applyNumberFormat="1" applyFont="1" applyFill="1" applyBorder="1" applyAlignment="1">
      <alignment horizontal="center" vertical="top" wrapText="1"/>
    </xf>
    <xf numFmtId="3" fontId="5" fillId="2" borderId="11" xfId="0" applyNumberFormat="1" applyFont="1" applyFill="1" applyBorder="1" applyAlignment="1">
      <alignment horizontal="center" vertical="top" wrapText="1"/>
    </xf>
    <xf numFmtId="165" fontId="0" fillId="0" borderId="0" xfId="0" applyNumberFormat="1"/>
    <xf numFmtId="0" fontId="3" fillId="0" borderId="0" xfId="0" applyFont="1" applyAlignment="1" applyProtection="1">
      <alignment horizontal="left" vertical="center"/>
      <protection locked="0"/>
    </xf>
    <xf numFmtId="14" fontId="3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/>
    <xf numFmtId="0" fontId="3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2" fontId="2" fillId="0" borderId="6" xfId="0" applyNumberFormat="1" applyFont="1" applyBorder="1" applyAlignment="1">
      <alignment horizontal="right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/>
    <xf numFmtId="0" fontId="0" fillId="0" borderId="14" xfId="0" applyBorder="1"/>
    <xf numFmtId="0" fontId="0" fillId="0" borderId="15" xfId="0" applyBorder="1"/>
    <xf numFmtId="0" fontId="9" fillId="0" borderId="0" xfId="0" applyFont="1" applyAlignment="1">
      <alignment horizontal="right"/>
    </xf>
    <xf numFmtId="0" fontId="0" fillId="0" borderId="0" xfId="0" applyAlignment="1">
      <alignment horizontal="left"/>
    </xf>
    <xf numFmtId="0" fontId="9" fillId="5" borderId="14" xfId="0" applyFont="1" applyFill="1" applyBorder="1"/>
    <xf numFmtId="0" fontId="9" fillId="5" borderId="5" xfId="0" applyFont="1" applyFill="1" applyBorder="1" applyAlignment="1">
      <alignment horizontal="center"/>
    </xf>
    <xf numFmtId="3" fontId="2" fillId="3" borderId="8" xfId="0" applyNumberFormat="1" applyFont="1" applyFill="1" applyBorder="1" applyAlignment="1" applyProtection="1">
      <alignment horizontal="right" vertical="top" wrapText="1"/>
      <protection locked="0"/>
    </xf>
    <xf numFmtId="0" fontId="11" fillId="0" borderId="1" xfId="0" applyFont="1" applyBorder="1" applyAlignment="1">
      <alignment vertical="center" wrapText="1"/>
    </xf>
    <xf numFmtId="0" fontId="9" fillId="5" borderId="12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/>
    </xf>
    <xf numFmtId="0" fontId="11" fillId="0" borderId="2" xfId="0" applyFont="1" applyBorder="1" applyAlignment="1">
      <alignment vertical="center" wrapText="1"/>
    </xf>
    <xf numFmtId="166" fontId="2" fillId="0" borderId="4" xfId="1" applyNumberFormat="1" applyFont="1" applyBorder="1" applyAlignment="1">
      <alignment horizontal="right"/>
    </xf>
    <xf numFmtId="0" fontId="9" fillId="5" borderId="9" xfId="0" applyFont="1" applyFill="1" applyBorder="1" applyAlignment="1">
      <alignment horizontal="right"/>
    </xf>
    <xf numFmtId="0" fontId="0" fillId="5" borderId="12" xfId="0" applyFill="1" applyBorder="1"/>
    <xf numFmtId="0" fontId="9" fillId="5" borderId="17" xfId="0" applyFont="1" applyFill="1" applyBorder="1"/>
    <xf numFmtId="0" fontId="0" fillId="5" borderId="1" xfId="0" applyFill="1" applyBorder="1"/>
    <xf numFmtId="0" fontId="9" fillId="5" borderId="6" xfId="0" applyFont="1" applyFill="1" applyBorder="1" applyAlignment="1">
      <alignment horizontal="center"/>
    </xf>
    <xf numFmtId="0" fontId="0" fillId="0" borderId="20" xfId="0" applyBorder="1"/>
    <xf numFmtId="0" fontId="9" fillId="5" borderId="1" xfId="0" applyFont="1" applyFill="1" applyBorder="1" applyAlignment="1">
      <alignment horizontal="right"/>
    </xf>
    <xf numFmtId="0" fontId="9" fillId="5" borderId="2" xfId="0" applyFont="1" applyFill="1" applyBorder="1" applyAlignment="1">
      <alignment horizontal="right"/>
    </xf>
    <xf numFmtId="0" fontId="9" fillId="5" borderId="3" xfId="0" applyFont="1" applyFill="1" applyBorder="1" applyAlignment="1">
      <alignment horizontal="center"/>
    </xf>
    <xf numFmtId="167" fontId="0" fillId="3" borderId="5" xfId="1" applyNumberFormat="1" applyFont="1" applyFill="1" applyBorder="1"/>
    <xf numFmtId="167" fontId="0" fillId="3" borderId="16" xfId="1" applyNumberFormat="1" applyFont="1" applyFill="1" applyBorder="1"/>
    <xf numFmtId="169" fontId="0" fillId="3" borderId="5" xfId="1" applyNumberFormat="1" applyFont="1" applyFill="1" applyBorder="1"/>
    <xf numFmtId="0" fontId="9" fillId="5" borderId="12" xfId="0" applyFont="1" applyFill="1" applyBorder="1" applyAlignment="1">
      <alignment horizontal="righ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4" xfId="0" applyBorder="1"/>
    <xf numFmtId="14" fontId="0" fillId="0" borderId="25" xfId="0" applyNumberFormat="1" applyBorder="1"/>
    <xf numFmtId="14" fontId="0" fillId="0" borderId="26" xfId="0" applyNumberFormat="1" applyBorder="1"/>
    <xf numFmtId="0" fontId="9" fillId="5" borderId="25" xfId="0" applyFont="1" applyFill="1" applyBorder="1"/>
    <xf numFmtId="0" fontId="9" fillId="5" borderId="26" xfId="0" applyFont="1" applyFill="1" applyBorder="1"/>
    <xf numFmtId="0" fontId="0" fillId="0" borderId="27" xfId="0" applyBorder="1"/>
    <xf numFmtId="0" fontId="0" fillId="0" borderId="26" xfId="0" applyBorder="1"/>
    <xf numFmtId="14" fontId="0" fillId="0" borderId="27" xfId="0" applyNumberFormat="1" applyBorder="1"/>
    <xf numFmtId="14" fontId="0" fillId="0" borderId="28" xfId="0" applyNumberFormat="1" applyBorder="1"/>
    <xf numFmtId="0" fontId="0" fillId="0" borderId="29" xfId="0" applyBorder="1"/>
    <xf numFmtId="0" fontId="2" fillId="0" borderId="0" xfId="0" applyFont="1" applyAlignment="1">
      <alignment vertical="center"/>
    </xf>
    <xf numFmtId="44" fontId="12" fillId="3" borderId="11" xfId="1" applyFont="1" applyFill="1" applyBorder="1" applyAlignment="1">
      <alignment horizontal="center"/>
    </xf>
    <xf numFmtId="0" fontId="9" fillId="5" borderId="18" xfId="0" applyFont="1" applyFill="1" applyBorder="1" applyAlignment="1">
      <alignment horizontal="center"/>
    </xf>
    <xf numFmtId="0" fontId="9" fillId="5" borderId="19" xfId="0" applyFont="1" applyFill="1" applyBorder="1" applyAlignment="1">
      <alignment horizontal="center"/>
    </xf>
    <xf numFmtId="1" fontId="8" fillId="3" borderId="0" xfId="0" applyNumberFormat="1" applyFont="1" applyFill="1" applyAlignment="1" applyProtection="1">
      <alignment horizontal="center" vertical="top" wrapText="1"/>
      <protection locked="0"/>
    </xf>
    <xf numFmtId="14" fontId="8" fillId="3" borderId="0" xfId="0" applyNumberFormat="1" applyFont="1" applyFill="1" applyAlignment="1" applyProtection="1">
      <alignment horizontal="center" vertical="top" wrapText="1"/>
      <protection locked="0"/>
    </xf>
    <xf numFmtId="0" fontId="10" fillId="4" borderId="0" xfId="0" applyFont="1" applyFill="1" applyAlignment="1">
      <alignment horizontal="center"/>
    </xf>
    <xf numFmtId="172" fontId="0" fillId="0" borderId="25" xfId="0" applyNumberFormat="1" applyFont="1" applyBorder="1"/>
    <xf numFmtId="3" fontId="0" fillId="3" borderId="7" xfId="0" applyNumberFormat="1" applyFont="1" applyFill="1" applyBorder="1" applyAlignment="1" applyProtection="1">
      <alignment horizontal="right" vertical="top" wrapText="1"/>
      <protection locked="0"/>
    </xf>
    <xf numFmtId="3" fontId="0" fillId="3" borderId="7" xfId="0" quotePrefix="1" applyNumberFormat="1" applyFont="1" applyFill="1" applyBorder="1" applyAlignment="1" applyProtection="1">
      <alignment horizontal="right" vertical="top" wrapText="1"/>
      <protection locked="0"/>
    </xf>
    <xf numFmtId="3" fontId="0" fillId="3" borderId="5" xfId="0" applyNumberFormat="1" applyFont="1" applyFill="1" applyBorder="1" applyAlignment="1" applyProtection="1">
      <alignment horizontal="right" vertical="top" wrapText="1"/>
      <protection locked="0"/>
    </xf>
    <xf numFmtId="3" fontId="0" fillId="3" borderId="6" xfId="0" applyNumberFormat="1" applyFont="1" applyFill="1" applyBorder="1" applyAlignment="1" applyProtection="1">
      <alignment horizontal="right" vertical="top" wrapText="1"/>
      <protection locked="0"/>
    </xf>
    <xf numFmtId="4" fontId="2" fillId="3" borderId="21" xfId="0" applyNumberFormat="1" applyFont="1" applyFill="1" applyBorder="1" applyAlignment="1">
      <alignment horizontal="right" vertical="top" wrapText="1"/>
    </xf>
    <xf numFmtId="4" fontId="2" fillId="3" borderId="22" xfId="0" applyNumberFormat="1" applyFont="1" applyFill="1" applyBorder="1" applyAlignment="1">
      <alignment horizontal="right" vertical="top" wrapText="1"/>
    </xf>
    <xf numFmtId="4" fontId="2" fillId="3" borderId="23" xfId="0" applyNumberFormat="1" applyFont="1" applyFill="1" applyBorder="1" applyAlignment="1">
      <alignment horizontal="right" vertical="top" wrapText="1"/>
    </xf>
  </cellXfs>
  <cellStyles count="2">
    <cellStyle name="Moneda" xfId="1" builtinId="4"/>
    <cellStyle name="Normal" xfId="0" builtinId="0"/>
  </cellStyles>
  <dxfs count="44"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alignment horizontal="right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376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9" defaultPivotStyle="PivotStyleLight16"/>
  <colors>
    <mruColors>
      <color rgb="FF005073"/>
      <color rgb="FFFF9999"/>
      <color rgb="FF996600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227918428891737E-2"/>
          <c:y val="1.7678313592774914E-2"/>
          <c:w val="0.76308878095630217"/>
          <c:h val="0.87102187435392675"/>
        </c:manualLayout>
      </c:layout>
      <c:lineChart>
        <c:grouping val="standard"/>
        <c:varyColors val="0"/>
        <c:ser>
          <c:idx val="0"/>
          <c:order val="0"/>
          <c:tx>
            <c:strRef>
              <c:f>'Plantilla EVM'!$C$20</c:f>
              <c:strCache>
                <c:ptCount val="1"/>
                <c:pt idx="0">
                  <c:v>PV</c:v>
                </c:pt>
              </c:strCache>
            </c:strRef>
          </c:tx>
          <c:spPr>
            <a:ln w="4762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'Plantilla EVM'!$D$17:$O$17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'Plantilla EVM'!$D$20:$O$20</c:f>
              <c:numCache>
                <c:formatCode>_-"$"* #,##0_-;\-"$"* #,##0_-;_-"$"* "-"??_-;_-@_-</c:formatCode>
                <c:ptCount val="12"/>
                <c:pt idx="0">
                  <c:v>1500000</c:v>
                </c:pt>
                <c:pt idx="1">
                  <c:v>3500000</c:v>
                </c:pt>
                <c:pt idx="2">
                  <c:v>6000000</c:v>
                </c:pt>
                <c:pt idx="3">
                  <c:v>9000000</c:v>
                </c:pt>
                <c:pt idx="4">
                  <c:v>12500000</c:v>
                </c:pt>
                <c:pt idx="5">
                  <c:v>16500000</c:v>
                </c:pt>
                <c:pt idx="6">
                  <c:v>20000000</c:v>
                </c:pt>
                <c:pt idx="7">
                  <c:v>23000000</c:v>
                </c:pt>
                <c:pt idx="8">
                  <c:v>26500000</c:v>
                </c:pt>
                <c:pt idx="9">
                  <c:v>30000000</c:v>
                </c:pt>
                <c:pt idx="10">
                  <c:v>33200000</c:v>
                </c:pt>
                <c:pt idx="11">
                  <c:v>36200000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8C-4DD7-9F5D-B18254B5837D}"/>
            </c:ext>
          </c:extLst>
        </c:ser>
        <c:ser>
          <c:idx val="1"/>
          <c:order val="1"/>
          <c:tx>
            <c:strRef>
              <c:f>'Plantilla EVM'!$C$22</c:f>
              <c:strCache>
                <c:ptCount val="1"/>
                <c:pt idx="0">
                  <c:v>AC</c:v>
                </c:pt>
              </c:strCache>
            </c:strRef>
          </c:tx>
          <c:spPr>
            <a:ln w="4762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2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'Plantilla EVM'!$D$17:$O$17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'Plantilla EVM'!$D$22:$O$22</c:f>
              <c:numCache>
                <c:formatCode>_-"$"* #,##0_-;\-"$"* #,##0_-;_-"$"* "-"??_-;_-@_-</c:formatCode>
                <c:ptCount val="12"/>
                <c:pt idx="0">
                  <c:v>1400000</c:v>
                </c:pt>
                <c:pt idx="1">
                  <c:v>3300000</c:v>
                </c:pt>
                <c:pt idx="2">
                  <c:v>5700000</c:v>
                </c:pt>
                <c:pt idx="3">
                  <c:v>8600000</c:v>
                </c:pt>
                <c:pt idx="4">
                  <c:v>12000000</c:v>
                </c:pt>
                <c:pt idx="5">
                  <c:v>15800000</c:v>
                </c:pt>
                <c:pt idx="6">
                  <c:v>19100000</c:v>
                </c:pt>
                <c:pt idx="7">
                  <c:v>22000000</c:v>
                </c:pt>
                <c:pt idx="8">
                  <c:v>25400000</c:v>
                </c:pt>
                <c:pt idx="9">
                  <c:v>28700000</c:v>
                </c:pt>
                <c:pt idx="10">
                  <c:v>31800000</c:v>
                </c:pt>
                <c:pt idx="11">
                  <c:v>34700000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8C-4DD7-9F5D-B18254B5837D}"/>
            </c:ext>
          </c:extLst>
        </c:ser>
        <c:ser>
          <c:idx val="2"/>
          <c:order val="2"/>
          <c:tx>
            <c:strRef>
              <c:f>'Plantilla EVM'!$C$25</c:f>
              <c:strCache>
                <c:ptCount val="1"/>
                <c:pt idx="0">
                  <c:v>EV</c:v>
                </c:pt>
              </c:strCache>
            </c:strRef>
          </c:tx>
          <c:spPr>
            <a:ln w="4762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3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'Plantilla EVM'!$D$17:$O$17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'Plantilla EVM'!$D$25:$O$25</c:f>
              <c:numCache>
                <c:formatCode>_-"$"* #,##0_-;\-"$"* #,##0_-;_-"$"* "-"??_-;_-@_-</c:formatCode>
                <c:ptCount val="12"/>
                <c:pt idx="0">
                  <c:v>1484199.9999999998</c:v>
                </c:pt>
                <c:pt idx="1">
                  <c:v>3435379.9999999995</c:v>
                </c:pt>
                <c:pt idx="2">
                  <c:v>5886120</c:v>
                </c:pt>
                <c:pt idx="3">
                  <c:v>8836420</c:v>
                </c:pt>
                <c:pt idx="4">
                  <c:v>12286280</c:v>
                </c:pt>
                <c:pt idx="5">
                  <c:v>16185020</c:v>
                </c:pt>
                <c:pt idx="6">
                  <c:v>19584200</c:v>
                </c:pt>
                <c:pt idx="7">
                  <c:v>22534500</c:v>
                </c:pt>
                <c:pt idx="8">
                  <c:v>25984360</c:v>
                </c:pt>
                <c:pt idx="9">
                  <c:v>29383540</c:v>
                </c:pt>
                <c:pt idx="10">
                  <c:v>32532940</c:v>
                </c:pt>
                <c:pt idx="11">
                  <c:v>35483240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8C-4DD7-9F5D-B18254B58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14144"/>
        <c:axId val="197172608"/>
      </c:lineChart>
      <c:catAx>
        <c:axId val="19421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7172608"/>
        <c:crosses val="autoZero"/>
        <c:auto val="1"/>
        <c:lblAlgn val="ctr"/>
        <c:lblOffset val="100"/>
        <c:tickLblSkip val="1"/>
        <c:noMultiLvlLbl val="0"/>
      </c:catAx>
      <c:valAx>
        <c:axId val="197172608"/>
        <c:scaling>
          <c:orientation val="minMax"/>
        </c:scaling>
        <c:delete val="0"/>
        <c:axPos val="l"/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421414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392287632928903"/>
          <c:y val="0.40323508525919333"/>
          <c:w val="8.5804249437789318E-2"/>
          <c:h val="0.200664444174779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24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3">
      <cs:styleClr val="auto"/>
    </cs:fillRef>
    <cs:effectRef idx="2">
      <a:schemeClr val="dk1"/>
    </cs:effectRef>
    <cs:fontRef idx="minor">
      <a:schemeClr val="tx1"/>
    </cs:fontRef>
  </cs:dataPoint>
  <cs:dataPoint3D>
    <cs:lnRef idx="0"/>
    <cs:fillRef idx="1">
      <cs:styleClr val="auto"/>
    </cs:fillRef>
    <cs:effectRef idx="2">
      <a:schemeClr val="dk1"/>
    </cs:effectRef>
    <cs:fontRef idx="minor">
      <a:schemeClr val="tx1"/>
    </cs:fontRef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3">
      <cs:styleClr val="auto"/>
    </cs:fillRef>
    <cs:effectRef idx="2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0"/>
    <cs:fillRef idx="3" mods="ignoreCSTransforms">
      <cs:styleClr val="0">
        <a:shade val="25000"/>
      </cs:styleClr>
    </cs:fillRef>
    <cs:effectRef idx="2">
      <a:schemeClr val="dk1"/>
    </cs:effectRef>
    <cs:fontRef idx="minor">
      <a:schemeClr val="tx1"/>
    </cs:fontRef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0"/>
    <cs:fillRef idx="3" mods="ignoreCSTransforms">
      <cs:styleClr val="0">
        <a:tint val="25000"/>
      </cs:styleClr>
    </cs:fillRef>
    <cs:effectRef idx="2">
      <a:schemeClr val="dk1"/>
    </cs:effectRef>
    <cs:fontRef idx="minor">
      <a:schemeClr val="tx1"/>
    </cs:fontRef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154782</xdr:colOff>
      <xdr:row>25</xdr:row>
      <xdr:rowOff>154782</xdr:rowOff>
    </xdr:from>
    <xdr:to>
      <xdr:col>15</xdr:col>
      <xdr:colOff>47625</xdr:colOff>
      <xdr:row>47</xdr:row>
      <xdr:rowOff>35719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729838</xdr:colOff>
      <xdr:row>2</xdr:row>
      <xdr:rowOff>73330</xdr:rowOff>
    </xdr:from>
    <xdr:to>
      <xdr:col>1</xdr:col>
      <xdr:colOff>3036125</xdr:colOff>
      <xdr:row>6</xdr:row>
      <xdr:rowOff>133325</xdr:rowOff>
    </xdr:to>
    <xdr:pic>
      <xdr:nvPicPr>
        <xdr:cNvPr id="4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838" y="469174"/>
          <a:ext cx="2305050" cy="913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465181</xdr:colOff>
      <xdr:row>32</xdr:row>
      <xdr:rowOff>152704</xdr:rowOff>
    </xdr:from>
    <xdr:ext cx="3296159" cy="530658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1457134">
          <a:off x="8475706" y="6905929"/>
          <a:ext cx="3296159" cy="530658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2800"/>
            <a:t>Gráfica Valor Ganado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423" displayName="Table13423" ref="D17:O25" totalsRowShown="0" headerRowDxfId="43" dataDxfId="41" headerRowBorderDxfId="42" tableBorderDxfId="40" totalsRowBorderDxfId="39">
  <tableColumns count="12">
    <tableColumn id="1" xr3:uid="{00000000-0010-0000-0000-000001000000}" name="Mes 1" dataDxfId="38"/>
    <tableColumn id="2" xr3:uid="{00000000-0010-0000-0000-000002000000}" name="Mes 2" dataDxfId="37"/>
    <tableColumn id="3" xr3:uid="{00000000-0010-0000-0000-000003000000}" name="Mes 3" dataDxfId="36"/>
    <tableColumn id="4" xr3:uid="{00000000-0010-0000-0000-000004000000}" name="Mes 4" dataDxfId="35"/>
    <tableColumn id="5" xr3:uid="{00000000-0010-0000-0000-000005000000}" name="Mes 5" dataDxfId="34"/>
    <tableColumn id="6" xr3:uid="{00000000-0010-0000-0000-000006000000}" name="Mes 6" dataDxfId="33"/>
    <tableColumn id="7" xr3:uid="{00000000-0010-0000-0000-000007000000}" name="Mes 7" dataDxfId="32"/>
    <tableColumn id="8" xr3:uid="{00000000-0010-0000-0000-000008000000}" name="Mes 8" dataDxfId="31"/>
    <tableColumn id="9" xr3:uid="{00000000-0010-0000-0000-000009000000}" name="Mes 9" dataDxfId="30"/>
    <tableColumn id="10" xr3:uid="{00000000-0010-0000-0000-00000A000000}" name="Mes 10" dataDxfId="29"/>
    <tableColumn id="11" xr3:uid="{00000000-0010-0000-0000-00000B000000}" name="Mes 11" dataDxfId="28"/>
    <tableColumn id="12" xr3:uid="{00000000-0010-0000-0000-00000C000000}" name="Mes 12" dataDxfId="2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53"/>
  <sheetViews>
    <sheetView showGridLines="0" tabSelected="1" topLeftCell="A17" zoomScale="55" zoomScaleNormal="55" workbookViewId="0">
      <selection activeCell="C41" sqref="C41"/>
    </sheetView>
  </sheetViews>
  <sheetFormatPr baseColWidth="10" defaultColWidth="9.08984375" defaultRowHeight="14.5" x14ac:dyDescent="0.35"/>
  <cols>
    <col min="2" max="2" width="60.81640625" customWidth="1"/>
    <col min="3" max="3" width="22.7265625" customWidth="1"/>
    <col min="4" max="15" width="12.6328125" customWidth="1"/>
    <col min="17" max="17" width="10.26953125" bestFit="1" customWidth="1"/>
  </cols>
  <sheetData>
    <row r="1" spans="2:18" x14ac:dyDescent="0.35"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2:18" x14ac:dyDescent="0.35"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2:18" x14ac:dyDescent="0.35"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2:18" ht="20.5" x14ac:dyDescent="0.45">
      <c r="B4" s="10"/>
      <c r="C4" s="10"/>
      <c r="D4" s="12" t="s">
        <v>20</v>
      </c>
      <c r="F4" s="10"/>
      <c r="G4" s="10"/>
      <c r="H4" s="10"/>
      <c r="I4" s="10"/>
      <c r="J4" s="10"/>
      <c r="K4" s="10"/>
    </row>
    <row r="5" spans="2:18" x14ac:dyDescent="0.35">
      <c r="B5" s="11"/>
      <c r="C5" s="11"/>
      <c r="D5" s="10"/>
      <c r="E5" s="10"/>
      <c r="F5" s="10"/>
      <c r="G5" s="10"/>
      <c r="H5" s="10"/>
      <c r="I5" s="10"/>
      <c r="J5" s="10"/>
      <c r="K5" s="10"/>
    </row>
    <row r="6" spans="2:18" ht="15" customHeight="1" x14ac:dyDescent="0.35">
      <c r="B6" s="10"/>
      <c r="C6" s="10"/>
      <c r="D6" s="10"/>
      <c r="E6" s="10"/>
      <c r="F6" s="10"/>
      <c r="G6" s="10"/>
      <c r="H6" s="10"/>
      <c r="I6" s="10"/>
      <c r="J6" s="10"/>
      <c r="K6" s="8"/>
      <c r="L6" s="15"/>
      <c r="M6" s="15"/>
      <c r="N6" s="60"/>
      <c r="O6" s="60"/>
      <c r="P6" s="8"/>
    </row>
    <row r="7" spans="2:18" ht="16.5" customHeight="1" x14ac:dyDescent="0.35">
      <c r="B7" s="10"/>
      <c r="C7" s="10"/>
      <c r="D7" s="10"/>
      <c r="E7" s="10"/>
      <c r="F7" s="10"/>
      <c r="G7" s="10"/>
      <c r="H7" s="10"/>
      <c r="I7" s="10"/>
      <c r="J7" s="10"/>
      <c r="K7" s="9"/>
      <c r="L7" s="16"/>
      <c r="M7" s="16"/>
      <c r="N7" s="61"/>
      <c r="O7" s="61"/>
      <c r="P7" s="9"/>
    </row>
    <row r="8" spans="2:18" ht="16.5" customHeight="1" x14ac:dyDescent="0.5">
      <c r="B8" s="62" t="s">
        <v>21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9"/>
    </row>
    <row r="9" spans="2:18" ht="16.5" customHeight="1" thickBot="1" x14ac:dyDescent="0.4">
      <c r="Q9" s="9"/>
    </row>
    <row r="10" spans="2:18" ht="16.5" customHeight="1" x14ac:dyDescent="0.35">
      <c r="B10" s="42" t="s">
        <v>22</v>
      </c>
      <c r="C10" s="43" t="s">
        <v>48</v>
      </c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5"/>
      <c r="Q10" s="9"/>
    </row>
    <row r="11" spans="2:18" ht="16.5" customHeight="1" x14ac:dyDescent="0.35">
      <c r="B11" s="36" t="s">
        <v>23</v>
      </c>
      <c r="C11" s="18" t="s">
        <v>49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46"/>
      <c r="Q11" s="9"/>
    </row>
    <row r="12" spans="2:18" ht="16.5" customHeight="1" thickBot="1" x14ac:dyDescent="0.4">
      <c r="B12" s="37" t="s">
        <v>24</v>
      </c>
      <c r="C12" s="47">
        <v>45943</v>
      </c>
      <c r="D12" s="48"/>
      <c r="E12" s="49" t="s">
        <v>25</v>
      </c>
      <c r="F12" s="50"/>
      <c r="G12" s="63">
        <v>46316</v>
      </c>
      <c r="H12" s="51"/>
      <c r="I12" s="52"/>
      <c r="J12" s="49" t="s">
        <v>26</v>
      </c>
      <c r="K12" s="50"/>
      <c r="L12" s="47" t="s">
        <v>50</v>
      </c>
      <c r="M12" s="53"/>
      <c r="N12" s="54"/>
      <c r="O12" s="55"/>
      <c r="P12" s="9"/>
    </row>
    <row r="13" spans="2:18" ht="16.5" customHeight="1" x14ac:dyDescent="0.35">
      <c r="C13" s="20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9"/>
    </row>
    <row r="14" spans="2:18" ht="16.5" customHeight="1" x14ac:dyDescent="0.35">
      <c r="B14" s="10"/>
      <c r="C14" s="10"/>
      <c r="D14" s="10"/>
      <c r="E14" s="10"/>
      <c r="F14" s="10"/>
      <c r="G14" s="10"/>
      <c r="H14" s="10"/>
      <c r="I14" s="10"/>
      <c r="J14" s="10"/>
      <c r="K14" s="9"/>
      <c r="L14" s="16"/>
      <c r="M14" s="17"/>
      <c r="N14" s="61"/>
      <c r="O14" s="61"/>
      <c r="P14" s="9"/>
      <c r="Q14" s="3"/>
    </row>
    <row r="15" spans="2:18" ht="16.5" customHeight="1" thickBot="1" x14ac:dyDescent="0.4">
      <c r="B15" s="10"/>
      <c r="C15" s="10"/>
      <c r="D15" s="10"/>
      <c r="E15" s="10"/>
      <c r="F15" s="10"/>
      <c r="G15" s="10"/>
      <c r="H15" s="10"/>
      <c r="I15" s="10"/>
      <c r="J15" s="10"/>
      <c r="K15" s="9"/>
      <c r="L15" s="16"/>
      <c r="M15" s="17"/>
      <c r="N15" s="61"/>
      <c r="O15" s="61"/>
      <c r="P15" s="9"/>
      <c r="Q15" s="3"/>
    </row>
    <row r="16" spans="2:18" ht="16.5" customHeight="1" x14ac:dyDescent="0.35">
      <c r="B16" s="31"/>
      <c r="C16" s="32"/>
      <c r="D16" s="58" t="s">
        <v>27</v>
      </c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9"/>
      <c r="P16" s="2"/>
      <c r="R16" s="3"/>
    </row>
    <row r="17" spans="2:15" ht="15" customHeight="1" x14ac:dyDescent="0.35">
      <c r="B17" s="33"/>
      <c r="C17" s="22"/>
      <c r="D17" s="23" t="s">
        <v>7</v>
      </c>
      <c r="E17" s="23" t="s">
        <v>9</v>
      </c>
      <c r="F17" s="23" t="s">
        <v>10</v>
      </c>
      <c r="G17" s="23" t="s">
        <v>11</v>
      </c>
      <c r="H17" s="23" t="s">
        <v>12</v>
      </c>
      <c r="I17" s="23" t="s">
        <v>13</v>
      </c>
      <c r="J17" s="23" t="s">
        <v>14</v>
      </c>
      <c r="K17" s="23" t="s">
        <v>15</v>
      </c>
      <c r="L17" s="23" t="s">
        <v>16</v>
      </c>
      <c r="M17" s="23" t="s">
        <v>17</v>
      </c>
      <c r="N17" s="23" t="s">
        <v>18</v>
      </c>
      <c r="O17" s="34" t="s">
        <v>8</v>
      </c>
    </row>
    <row r="18" spans="2:15" ht="15.75" hidden="1" customHeight="1" thickBot="1" x14ac:dyDescent="0.4">
      <c r="B18" s="35"/>
      <c r="D18" s="4">
        <v>1</v>
      </c>
      <c r="E18" s="5">
        <v>2</v>
      </c>
      <c r="F18" s="5">
        <v>3</v>
      </c>
      <c r="G18" s="5">
        <v>4</v>
      </c>
      <c r="H18" s="5">
        <v>5</v>
      </c>
      <c r="I18" s="5">
        <v>6</v>
      </c>
      <c r="J18" s="5">
        <v>7</v>
      </c>
      <c r="K18" s="5">
        <v>8</v>
      </c>
      <c r="L18" s="5">
        <v>9</v>
      </c>
      <c r="M18" s="5">
        <v>10</v>
      </c>
      <c r="N18" s="5">
        <v>11</v>
      </c>
      <c r="O18" s="6">
        <v>12</v>
      </c>
    </row>
    <row r="19" spans="2:15" ht="15" customHeight="1" x14ac:dyDescent="0.35">
      <c r="B19" s="36" t="s">
        <v>28</v>
      </c>
      <c r="C19" s="23"/>
      <c r="D19" s="64">
        <v>1500000</v>
      </c>
      <c r="E19" s="64">
        <v>2000000</v>
      </c>
      <c r="F19" s="64">
        <v>2500000</v>
      </c>
      <c r="G19" s="64">
        <v>3000000</v>
      </c>
      <c r="H19" s="64">
        <v>3500000</v>
      </c>
      <c r="I19" s="64">
        <v>4000000</v>
      </c>
      <c r="J19" s="64">
        <v>3500000</v>
      </c>
      <c r="K19" s="64">
        <v>3000000</v>
      </c>
      <c r="L19" s="64">
        <v>3500000</v>
      </c>
      <c r="M19" s="64">
        <v>3500000</v>
      </c>
      <c r="N19" s="65">
        <v>3200000</v>
      </c>
      <c r="O19" s="24">
        <v>3000000</v>
      </c>
    </row>
    <row r="20" spans="2:15" ht="15" customHeight="1" x14ac:dyDescent="0.35">
      <c r="B20" s="36" t="s">
        <v>29</v>
      </c>
      <c r="C20" s="23" t="s">
        <v>2</v>
      </c>
      <c r="D20" s="39">
        <f>D19</f>
        <v>1500000</v>
      </c>
      <c r="E20" s="39">
        <f>D19+E19</f>
        <v>3500000</v>
      </c>
      <c r="F20" s="39">
        <f>E20+F19</f>
        <v>6000000</v>
      </c>
      <c r="G20" s="39">
        <f>F20+G19</f>
        <v>9000000</v>
      </c>
      <c r="H20" s="39">
        <f t="shared" ref="H20:O20" si="0">G20+H19</f>
        <v>12500000</v>
      </c>
      <c r="I20" s="39">
        <f t="shared" si="0"/>
        <v>16500000</v>
      </c>
      <c r="J20" s="39">
        <f t="shared" si="0"/>
        <v>20000000</v>
      </c>
      <c r="K20" s="39">
        <f t="shared" si="0"/>
        <v>23000000</v>
      </c>
      <c r="L20" s="39">
        <f t="shared" si="0"/>
        <v>26500000</v>
      </c>
      <c r="M20" s="39">
        <f t="shared" si="0"/>
        <v>30000000</v>
      </c>
      <c r="N20" s="39">
        <f t="shared" si="0"/>
        <v>33200000</v>
      </c>
      <c r="O20" s="40">
        <f t="shared" si="0"/>
        <v>36200000</v>
      </c>
    </row>
    <row r="21" spans="2:15" ht="15" customHeight="1" x14ac:dyDescent="0.35">
      <c r="B21" s="36" t="s">
        <v>30</v>
      </c>
      <c r="C21" s="23"/>
      <c r="D21" s="66">
        <v>1400000</v>
      </c>
      <c r="E21" s="66">
        <v>1900000</v>
      </c>
      <c r="F21" s="66">
        <v>2400000</v>
      </c>
      <c r="G21" s="66">
        <v>2900000</v>
      </c>
      <c r="H21" s="66">
        <v>3400000</v>
      </c>
      <c r="I21" s="66">
        <v>3800000</v>
      </c>
      <c r="J21" s="66">
        <v>3300000</v>
      </c>
      <c r="K21" s="66">
        <v>2900000</v>
      </c>
      <c r="L21" s="66">
        <v>3400000</v>
      </c>
      <c r="M21" s="66">
        <v>3300000</v>
      </c>
      <c r="N21" s="66">
        <v>3100000</v>
      </c>
      <c r="O21" s="67">
        <v>2900000</v>
      </c>
    </row>
    <row r="22" spans="2:15" x14ac:dyDescent="0.35">
      <c r="B22" s="36" t="s">
        <v>31</v>
      </c>
      <c r="C22" s="23" t="s">
        <v>3</v>
      </c>
      <c r="D22" s="39">
        <f>D21</f>
        <v>1400000</v>
      </c>
      <c r="E22" s="39">
        <f>D21+E21</f>
        <v>3300000</v>
      </c>
      <c r="F22" s="39">
        <f>E22+F21</f>
        <v>5700000</v>
      </c>
      <c r="G22" s="39">
        <f>F22+G21</f>
        <v>8600000</v>
      </c>
      <c r="H22" s="39">
        <f t="shared" ref="H22:J22" si="1">G22+H21</f>
        <v>12000000</v>
      </c>
      <c r="I22" s="39">
        <f t="shared" si="1"/>
        <v>15800000</v>
      </c>
      <c r="J22" s="39">
        <f t="shared" si="1"/>
        <v>19100000</v>
      </c>
      <c r="K22" s="39">
        <f t="shared" ref="K22" si="2">J22+K21</f>
        <v>22000000</v>
      </c>
      <c r="L22" s="39">
        <f t="shared" ref="L22" si="3">K22+L21</f>
        <v>25400000</v>
      </c>
      <c r="M22" s="39">
        <f t="shared" ref="M22" si="4">L22+M21</f>
        <v>28700000</v>
      </c>
      <c r="N22" s="39">
        <f t="shared" ref="N22" si="5">M22+N21</f>
        <v>31800000</v>
      </c>
      <c r="O22" s="39">
        <f t="shared" ref="O22" si="6">N22+O21</f>
        <v>34700000</v>
      </c>
    </row>
    <row r="23" spans="2:15" x14ac:dyDescent="0.35">
      <c r="B23" s="36" t="s">
        <v>35</v>
      </c>
      <c r="C23" s="23" t="s">
        <v>36</v>
      </c>
      <c r="D23" s="68">
        <v>4.0999999999999996</v>
      </c>
      <c r="E23" s="69">
        <v>5.39</v>
      </c>
      <c r="F23" s="69">
        <v>6.77</v>
      </c>
      <c r="G23" s="69">
        <v>8.15</v>
      </c>
      <c r="H23" s="69">
        <v>9.5299999999999994</v>
      </c>
      <c r="I23" s="69">
        <v>10.77</v>
      </c>
      <c r="J23" s="69">
        <v>9.39</v>
      </c>
      <c r="K23" s="69">
        <v>8.15</v>
      </c>
      <c r="L23" s="69">
        <v>9.5299999999999994</v>
      </c>
      <c r="M23" s="69">
        <v>9.39</v>
      </c>
      <c r="N23" s="69">
        <v>8.6999999999999993</v>
      </c>
      <c r="O23" s="70">
        <v>8.15</v>
      </c>
    </row>
    <row r="24" spans="2:15" x14ac:dyDescent="0.35">
      <c r="B24" s="36" t="s">
        <v>1</v>
      </c>
      <c r="C24" s="23"/>
      <c r="D24" s="39">
        <f>C27*(D23/100)</f>
        <v>1484199.9999999998</v>
      </c>
      <c r="E24" s="39">
        <f>C27*(E23/100)</f>
        <v>1951179.9999999998</v>
      </c>
      <c r="F24" s="39">
        <f>C27*(F23/100)</f>
        <v>2450740</v>
      </c>
      <c r="G24" s="39">
        <f>C27*(G23/100)</f>
        <v>2950300</v>
      </c>
      <c r="H24" s="39">
        <f>C27*(H23/100)</f>
        <v>3449860</v>
      </c>
      <c r="I24" s="39">
        <f>C27*(I23/100)</f>
        <v>3898739.9999999995</v>
      </c>
      <c r="J24" s="39">
        <f>C27*(J23/100)</f>
        <v>3399180.0000000005</v>
      </c>
      <c r="K24" s="39">
        <f>C27*(K23/100)</f>
        <v>2950300</v>
      </c>
      <c r="L24" s="39">
        <f>C27*(L23/100)</f>
        <v>3449860</v>
      </c>
      <c r="M24" s="39">
        <f>C27*(M23/100)</f>
        <v>3399180.0000000005</v>
      </c>
      <c r="N24" s="39">
        <f>C27*(N23/100)</f>
        <v>3149400</v>
      </c>
      <c r="O24" s="39">
        <f>C27*(O23/100)</f>
        <v>2950300</v>
      </c>
    </row>
    <row r="25" spans="2:15" ht="15" thickBot="1" x14ac:dyDescent="0.4">
      <c r="B25" s="37" t="s">
        <v>5</v>
      </c>
      <c r="C25" s="38" t="s">
        <v>4</v>
      </c>
      <c r="D25" s="39">
        <f>D24</f>
        <v>1484199.9999999998</v>
      </c>
      <c r="E25" s="39">
        <f>D24+E24</f>
        <v>3435379.9999999995</v>
      </c>
      <c r="F25" s="39">
        <f>E25+F24</f>
        <v>5886120</v>
      </c>
      <c r="G25" s="39">
        <f>F25+G24</f>
        <v>8836420</v>
      </c>
      <c r="H25" s="39">
        <f t="shared" ref="H25:J25" si="7">G25+H24</f>
        <v>12286280</v>
      </c>
      <c r="I25" s="39">
        <f t="shared" si="7"/>
        <v>16185020</v>
      </c>
      <c r="J25" s="39">
        <f t="shared" si="7"/>
        <v>19584200</v>
      </c>
      <c r="K25" s="39">
        <f t="shared" ref="K25" si="8">J25+K24</f>
        <v>22534500</v>
      </c>
      <c r="L25" s="39">
        <f t="shared" ref="L25" si="9">K25+L24</f>
        <v>25984360</v>
      </c>
      <c r="M25" s="39">
        <f t="shared" ref="M25" si="10">L25+M24</f>
        <v>29383540</v>
      </c>
      <c r="N25" s="39">
        <f t="shared" ref="N25" si="11">M25+N24</f>
        <v>32532940</v>
      </c>
      <c r="O25" s="39">
        <f t="shared" ref="O25" si="12">N25+O24</f>
        <v>35483240</v>
      </c>
    </row>
    <row r="26" spans="2:15" ht="16" thickBot="1" x14ac:dyDescent="0.4">
      <c r="D26" s="1" t="s">
        <v>0</v>
      </c>
    </row>
    <row r="27" spans="2:15" ht="16" thickBot="1" x14ac:dyDescent="0.4">
      <c r="B27" s="30" t="s">
        <v>19</v>
      </c>
      <c r="C27" s="57">
        <v>36200000</v>
      </c>
      <c r="D27" s="1"/>
    </row>
    <row r="28" spans="2:15" ht="16" thickBot="1" x14ac:dyDescent="0.4">
      <c r="C28" s="13"/>
      <c r="D28" s="1"/>
    </row>
    <row r="29" spans="2:15" x14ac:dyDescent="0.35">
      <c r="B29" s="26" t="s">
        <v>32</v>
      </c>
      <c r="C29" s="27" t="s">
        <v>6</v>
      </c>
    </row>
    <row r="30" spans="2:15" ht="18.75" customHeight="1" x14ac:dyDescent="0.35">
      <c r="B30" s="25" t="s">
        <v>33</v>
      </c>
      <c r="C30" s="39">
        <f>O25-O22</f>
        <v>783240</v>
      </c>
      <c r="D30" s="7"/>
      <c r="E30" s="7"/>
    </row>
    <row r="31" spans="2:15" ht="30.75" customHeight="1" x14ac:dyDescent="0.35">
      <c r="B31" s="25" t="s">
        <v>45</v>
      </c>
      <c r="C31" s="41">
        <f>O25-O20</f>
        <v>-716760</v>
      </c>
    </row>
    <row r="32" spans="2:15" ht="33" customHeight="1" x14ac:dyDescent="0.35">
      <c r="B32" s="25" t="s">
        <v>46</v>
      </c>
      <c r="C32" s="14">
        <f>(O25/O22)</f>
        <v>1.0225717579250722</v>
      </c>
    </row>
    <row r="33" spans="2:3" ht="36" customHeight="1" x14ac:dyDescent="0.35">
      <c r="B33" s="25" t="s">
        <v>34</v>
      </c>
      <c r="C33" s="14">
        <f>(O25/O20)</f>
        <v>0.98019999999999996</v>
      </c>
    </row>
    <row r="34" spans="2:3" ht="35.25" customHeight="1" thickBot="1" x14ac:dyDescent="0.4">
      <c r="B34" s="28" t="s">
        <v>47</v>
      </c>
      <c r="C34" s="29">
        <f>C27/C32</f>
        <v>35400938.583962455</v>
      </c>
    </row>
    <row r="37" spans="2:3" x14ac:dyDescent="0.35">
      <c r="B37" s="56" t="s">
        <v>38</v>
      </c>
    </row>
    <row r="38" spans="2:3" x14ac:dyDescent="0.35">
      <c r="B38" s="56" t="s">
        <v>37</v>
      </c>
    </row>
    <row r="39" spans="2:3" x14ac:dyDescent="0.35">
      <c r="B39" s="56"/>
    </row>
    <row r="40" spans="2:3" x14ac:dyDescent="0.35">
      <c r="B40" s="56" t="s">
        <v>39</v>
      </c>
    </row>
    <row r="41" spans="2:3" x14ac:dyDescent="0.35">
      <c r="B41" s="56" t="s">
        <v>40</v>
      </c>
    </row>
    <row r="42" spans="2:3" x14ac:dyDescent="0.35">
      <c r="B42" s="56"/>
    </row>
    <row r="43" spans="2:3" x14ac:dyDescent="0.35">
      <c r="B43" s="56" t="s">
        <v>41</v>
      </c>
    </row>
    <row r="44" spans="2:3" x14ac:dyDescent="0.35">
      <c r="B44" s="56" t="s">
        <v>42</v>
      </c>
    </row>
    <row r="45" spans="2:3" x14ac:dyDescent="0.35">
      <c r="B45" s="56"/>
    </row>
    <row r="46" spans="2:3" x14ac:dyDescent="0.35">
      <c r="B46" s="56" t="s">
        <v>43</v>
      </c>
    </row>
    <row r="47" spans="2:3" x14ac:dyDescent="0.35">
      <c r="B47" s="56" t="s">
        <v>44</v>
      </c>
    </row>
    <row r="53" spans="10:10" x14ac:dyDescent="0.35">
      <c r="J53" t="s">
        <v>51</v>
      </c>
    </row>
  </sheetData>
  <mergeCells count="6">
    <mergeCell ref="D16:O16"/>
    <mergeCell ref="N6:O6"/>
    <mergeCell ref="N7:O7"/>
    <mergeCell ref="N14:O14"/>
    <mergeCell ref="N15:O15"/>
    <mergeCell ref="B8:O8"/>
  </mergeCells>
  <conditionalFormatting sqref="C30:C31">
    <cfRule type="expression" dxfId="26" priority="1">
      <formula>IF(ROUND(($N$14-$N$7)/30,0)=1,1,0)</formula>
    </cfRule>
  </conditionalFormatting>
  <conditionalFormatting sqref="D18:D25 E24:O24">
    <cfRule type="expression" dxfId="25" priority="5">
      <formula>IF(ROUND(($N$14-$N$7)/30,0)=1,1,0)</formula>
    </cfRule>
  </conditionalFormatting>
  <conditionalFormatting sqref="E18:E23">
    <cfRule type="expression" dxfId="24" priority="26">
      <formula>IF(ROUND(($N$14-$N$7)/30,0)=2,1,0)</formula>
    </cfRule>
  </conditionalFormatting>
  <conditionalFormatting sqref="E25">
    <cfRule type="expression" dxfId="23" priority="10">
      <formula>IF(ROUND(($N$14-$N$7)/30,0)=2,1,0)</formula>
    </cfRule>
  </conditionalFormatting>
  <conditionalFormatting sqref="F18:F23">
    <cfRule type="expression" dxfId="21" priority="24">
      <formula>IF(ROUND(($N$14-$N$7)/30,0)=3,1,0)</formula>
    </cfRule>
  </conditionalFormatting>
  <conditionalFormatting sqref="F25">
    <cfRule type="expression" dxfId="20" priority="9">
      <formula>IF(ROUND(($N$14-$N$7)/30,0)=3,1,0)</formula>
    </cfRule>
  </conditionalFormatting>
  <conditionalFormatting sqref="G18:G23">
    <cfRule type="expression" dxfId="19" priority="23">
      <formula>IF(ROUND(($N$14-$N$7)/30,0)=4,1,0)</formula>
    </cfRule>
  </conditionalFormatting>
  <conditionalFormatting sqref="G25">
    <cfRule type="expression" dxfId="18" priority="8">
      <formula>IF(ROUND(($N$14-$N$7)/30,0)=4,1,0)</formula>
    </cfRule>
  </conditionalFormatting>
  <conditionalFormatting sqref="H18:H23">
    <cfRule type="expression" dxfId="17" priority="22">
      <formula>IF(ROUND(($N$14-$N$7)/30,0)=5,1,0)</formula>
    </cfRule>
  </conditionalFormatting>
  <conditionalFormatting sqref="H25">
    <cfRule type="expression" dxfId="16" priority="7">
      <formula>IF(ROUND(($N$14-$N$7)/30,0)=5,1,0)</formula>
    </cfRule>
  </conditionalFormatting>
  <conditionalFormatting sqref="I18:I23">
    <cfRule type="expression" dxfId="15" priority="21">
      <formula>IF(ROUND(($N$14-$N$7)/30,0)=6,1,0)</formula>
    </cfRule>
  </conditionalFormatting>
  <conditionalFormatting sqref="I25">
    <cfRule type="expression" dxfId="14" priority="6">
      <formula>IF(ROUND(($N$14-$N$7)/30,0)=6,1,0)</formula>
    </cfRule>
  </conditionalFormatting>
  <conditionalFormatting sqref="J18:J23">
    <cfRule type="expression" dxfId="13" priority="20">
      <formula>IF(ROUND(($N$14-$N$7)/30,0)=7,1,0)</formula>
    </cfRule>
  </conditionalFormatting>
  <conditionalFormatting sqref="K18:K21">
    <cfRule type="expression" dxfId="12" priority="31">
      <formula>IF(ROUND(($N$14-$N$7)/30,0)=8,1,0)</formula>
    </cfRule>
  </conditionalFormatting>
  <conditionalFormatting sqref="K23">
    <cfRule type="expression" dxfId="11" priority="47">
      <formula>IF(ROUND(($N$14-$N$7)/30,0)=8,1,0)</formula>
    </cfRule>
  </conditionalFormatting>
  <conditionalFormatting sqref="K22:O22">
    <cfRule type="expression" dxfId="10" priority="3">
      <formula>IF(ROUND(($N$14-$N$7)/30,0)=7,1,0)</formula>
    </cfRule>
  </conditionalFormatting>
  <conditionalFormatting sqref="K25:O25">
    <cfRule type="expression" dxfId="8" priority="4">
      <formula>IF(ROUND(($N$14-$N$7)/30,0)=7,1,0)</formula>
    </cfRule>
  </conditionalFormatting>
  <conditionalFormatting sqref="L18:L21">
    <cfRule type="expression" dxfId="7" priority="30">
      <formula>IF(ROUND(($N$14-$N$7)/30,0)=9,1,0)</formula>
    </cfRule>
  </conditionalFormatting>
  <conditionalFormatting sqref="L23">
    <cfRule type="expression" dxfId="6" priority="48">
      <formula>IF(ROUND(($N$14-$N$7)/30,0)=9,1,0)</formula>
    </cfRule>
  </conditionalFormatting>
  <conditionalFormatting sqref="M18:M21">
    <cfRule type="expression" dxfId="5" priority="29">
      <formula>IF(ROUND(($N$14-$N$7)/30,0)=10,1,0)</formula>
    </cfRule>
  </conditionalFormatting>
  <conditionalFormatting sqref="M23">
    <cfRule type="expression" dxfId="4" priority="49">
      <formula>IF(ROUND(($N$14-$N$7)/30,0)=10,1,0)</formula>
    </cfRule>
  </conditionalFormatting>
  <conditionalFormatting sqref="N6:N7 N9:N11 M12 N13:N15">
    <cfRule type="expression" dxfId="3" priority="42">
      <formula>IF(ROUND(($N$14-$N$7)/30,0)=3,1,0)</formula>
    </cfRule>
  </conditionalFormatting>
  <conditionalFormatting sqref="N18:N21">
    <cfRule type="expression" dxfId="2" priority="28">
      <formula>IF(ROUND(($N$14-$N$7)/30,0)=11,1,0)</formula>
    </cfRule>
  </conditionalFormatting>
  <conditionalFormatting sqref="N23">
    <cfRule type="expression" dxfId="1" priority="50">
      <formula>IF(ROUND(($N$14-$N$7)/30,0)=11,1,0)</formula>
    </cfRule>
  </conditionalFormatting>
  <conditionalFormatting sqref="O18:O21 O23">
    <cfRule type="expression" dxfId="0" priority="51">
      <formula>IF(ROUND(($N$14-$N$7)/30,0)=12,1,0)</formula>
    </cfRule>
  </conditionalFormatting>
  <pageMargins left="0.7" right="0.7" top="0.75" bottom="0.75" header="0.3" footer="0.3"/>
  <pageSetup scale="49" orientation="portrait" horizontalDpi="1200" verticalDpi="120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29A51BA609764880BB0FC0708A5BFF" ma:contentTypeVersion="11" ma:contentTypeDescription="Crear nuevo documento." ma:contentTypeScope="" ma:versionID="d24585524caef3077bb1a735000ceb9c">
  <xsd:schema xmlns:xsd="http://www.w3.org/2001/XMLSchema" xmlns:xs="http://www.w3.org/2001/XMLSchema" xmlns:p="http://schemas.microsoft.com/office/2006/metadata/properties" xmlns:ns2="75e38577-c75d-405b-8341-6ee002fd10f3" xmlns:ns3="2236d9cd-653c-46e7-b11b-38e0318339ba" targetNamespace="http://schemas.microsoft.com/office/2006/metadata/properties" ma:root="true" ma:fieldsID="433cf1c4277d89ae24acd1dc7b7b2689" ns2:_="" ns3:_="">
    <xsd:import namespace="75e38577-c75d-405b-8341-6ee002fd10f3"/>
    <xsd:import namespace="2236d9cd-653c-46e7-b11b-38e0318339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38577-c75d-405b-8341-6ee002fd10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2b61bc0c-9156-412f-b605-57ff87b11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36d9cd-653c-46e7-b11b-38e0318339b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2e8ca2-ee16-4fec-9553-7f7f3c70e82c}" ma:internalName="TaxCatchAll" ma:showField="CatchAllData" ma:web="2236d9cd-653c-46e7-b11b-38e0318339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e38577-c75d-405b-8341-6ee002fd10f3">
      <Terms xmlns="http://schemas.microsoft.com/office/infopath/2007/PartnerControls"/>
    </lcf76f155ced4ddcb4097134ff3c332f>
    <TaxCatchAll xmlns="2236d9cd-653c-46e7-b11b-38e0318339ba" xsi:nil="true"/>
  </documentManagement>
</p:properties>
</file>

<file path=customXml/itemProps1.xml><?xml version="1.0" encoding="utf-8"?>
<ds:datastoreItem xmlns:ds="http://schemas.openxmlformats.org/officeDocument/2006/customXml" ds:itemID="{BAE910F7-A4F0-4762-8332-1763B0A9261C}"/>
</file>

<file path=customXml/itemProps2.xml><?xml version="1.0" encoding="utf-8"?>
<ds:datastoreItem xmlns:ds="http://schemas.openxmlformats.org/officeDocument/2006/customXml" ds:itemID="{CFA91E2C-AD2B-47DD-A301-EE63EBEB86B8}"/>
</file>

<file path=customXml/itemProps3.xml><?xml version="1.0" encoding="utf-8"?>
<ds:datastoreItem xmlns:ds="http://schemas.openxmlformats.org/officeDocument/2006/customXml" ds:itemID="{6ABD5BC0-BE55-43C8-8F33-19D981FAFA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EVM</vt:lpstr>
    </vt:vector>
  </TitlesOfParts>
  <Company>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Cupa</dc:creator>
  <cp:lastModifiedBy>Cristian Eduardo Solis Espinoza</cp:lastModifiedBy>
  <cp:lastPrinted>2012-05-23T16:28:30Z</cp:lastPrinted>
  <dcterms:created xsi:type="dcterms:W3CDTF">2011-05-27T04:00:15Z</dcterms:created>
  <dcterms:modified xsi:type="dcterms:W3CDTF">2025-11-13T17:06:37Z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0x010100A529A51BA609764880BB0FC0708A5BFF</vt:lpwstr>
  </property>
</Properties>
</file>